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EMVfZG4CwPy1OdMV6yH3ppyqXUHssbn5SyX0rxu07nk="/>
    </ext>
  </extLst>
</workbook>
</file>

<file path=xl/sharedStrings.xml><?xml version="1.0" encoding="utf-8"?>
<sst xmlns="http://schemas.openxmlformats.org/spreadsheetml/2006/main" count="368" uniqueCount="186">
  <si>
    <t>Sr. no.</t>
  </si>
  <si>
    <t>Name of Machine</t>
  </si>
  <si>
    <t>Starter</t>
  </si>
  <si>
    <t>Freq.</t>
  </si>
  <si>
    <t>Rated kW</t>
  </si>
  <si>
    <t>Rated HP</t>
  </si>
  <si>
    <t>V</t>
  </si>
  <si>
    <t>I</t>
  </si>
  <si>
    <t>kVA</t>
  </si>
  <si>
    <t>PF</t>
  </si>
  <si>
    <t>kVAr</t>
  </si>
  <si>
    <t>kW</t>
  </si>
  <si>
    <t>Calculated Power</t>
  </si>
  <si>
    <t>Load factor</t>
  </si>
  <si>
    <t>% VTHD</t>
  </si>
  <si>
    <t>%I THD</t>
  </si>
  <si>
    <t>Other</t>
  </si>
  <si>
    <t>*</t>
  </si>
  <si>
    <t>Jet MAchine</t>
  </si>
  <si>
    <t>Jet-1 off</t>
  </si>
  <si>
    <t>Jet-2</t>
  </si>
  <si>
    <t>VFD</t>
  </si>
  <si>
    <t>Jet-3</t>
  </si>
  <si>
    <t>Temp 111 Heating, press 2.8, 7395-7401</t>
  </si>
  <si>
    <t>Jet 4</t>
  </si>
  <si>
    <t>Not Possible</t>
  </si>
  <si>
    <t>Jet-5</t>
  </si>
  <si>
    <t>100329+100338</t>
  </si>
  <si>
    <t>jet 22 inverter output and mcb hot around 100 deg</t>
  </si>
  <si>
    <t>Jet 5</t>
  </si>
  <si>
    <t>Jet 7</t>
  </si>
  <si>
    <t>Jet 8</t>
  </si>
  <si>
    <t>Jet 9</t>
  </si>
  <si>
    <t>Jet 10</t>
  </si>
  <si>
    <t>Jet 11</t>
  </si>
  <si>
    <t>Jet 12</t>
  </si>
  <si>
    <t>Jet 13</t>
  </si>
  <si>
    <t>Jet 14</t>
  </si>
  <si>
    <t>Jet 15</t>
  </si>
  <si>
    <t>Jet 16</t>
  </si>
  <si>
    <t>Jet 17</t>
  </si>
  <si>
    <t>Jet-18</t>
  </si>
  <si>
    <t>Jet-19</t>
  </si>
  <si>
    <t>Jet-20</t>
  </si>
  <si>
    <t>Jet 21</t>
  </si>
  <si>
    <t>Jet-22</t>
  </si>
  <si>
    <t>Jet-23</t>
  </si>
  <si>
    <t>Jet 24</t>
  </si>
  <si>
    <t>Jet 25</t>
  </si>
  <si>
    <t>Jet 26</t>
  </si>
  <si>
    <t>Jet 27</t>
  </si>
  <si>
    <t>Jet 28</t>
  </si>
  <si>
    <t>Jet 29</t>
  </si>
  <si>
    <t>Jet-30</t>
  </si>
  <si>
    <t>Jet-31</t>
  </si>
  <si>
    <t>Jet 32</t>
  </si>
  <si>
    <t>Jet 33</t>
  </si>
  <si>
    <t>Jet 34</t>
  </si>
  <si>
    <t>1266 rpm</t>
  </si>
  <si>
    <t>Jet 35</t>
  </si>
  <si>
    <t>Jet 36</t>
  </si>
  <si>
    <t>1140 rpm</t>
  </si>
  <si>
    <t>Jet 37</t>
  </si>
  <si>
    <t>Jet 38</t>
  </si>
  <si>
    <t>Jet 39</t>
  </si>
  <si>
    <t>Jet 40</t>
  </si>
  <si>
    <t>Jet 41</t>
  </si>
  <si>
    <t>Jet-42</t>
  </si>
  <si>
    <t>Jet-43</t>
  </si>
  <si>
    <t>Hold 59 deg, Press 2.3, 7402-7408</t>
  </si>
  <si>
    <t>Jet-44</t>
  </si>
  <si>
    <t>Jet-45</t>
  </si>
  <si>
    <t>Jet-46</t>
  </si>
  <si>
    <t>Jet-47</t>
  </si>
  <si>
    <t>Jet-48</t>
  </si>
  <si>
    <t>Long Jet-1</t>
  </si>
  <si>
    <t>Long Jet-2</t>
  </si>
  <si>
    <t>Jigger Machine</t>
  </si>
  <si>
    <t>Jigger-01</t>
  </si>
  <si>
    <t>Jigger-02</t>
  </si>
  <si>
    <t>Jigger-03</t>
  </si>
  <si>
    <t>Jigger-04</t>
  </si>
  <si>
    <t>off</t>
  </si>
  <si>
    <t>Jigger-05</t>
  </si>
  <si>
    <t>Jigger-06</t>
  </si>
  <si>
    <t>Jigger-07</t>
  </si>
  <si>
    <t>Jigger-08</t>
  </si>
  <si>
    <t>Jigger-09</t>
  </si>
  <si>
    <t>Jigger-10</t>
  </si>
  <si>
    <t>.1.42</t>
  </si>
  <si>
    <t>Jigger-11</t>
  </si>
  <si>
    <t>Jigger-12</t>
  </si>
  <si>
    <t>Jigger-13</t>
  </si>
  <si>
    <t>Jigger-14</t>
  </si>
  <si>
    <t>Jigger-15</t>
  </si>
  <si>
    <t>Jigger-16</t>
  </si>
  <si>
    <t>Jigger-17</t>
  </si>
  <si>
    <t>Jigger-18</t>
  </si>
  <si>
    <t>Jigger-19</t>
  </si>
  <si>
    <t>Jigger-20</t>
  </si>
  <si>
    <t>Jigger-21</t>
  </si>
  <si>
    <t>Jigger-22</t>
  </si>
  <si>
    <t>Jigger-23</t>
  </si>
  <si>
    <t>Jigger-24</t>
  </si>
  <si>
    <t>Off</t>
  </si>
  <si>
    <t>Jigger-25</t>
  </si>
  <si>
    <t>Jigger-26</t>
  </si>
  <si>
    <t>Jigger-27</t>
  </si>
  <si>
    <t>Jigger-28</t>
  </si>
  <si>
    <t>Jigger-29</t>
  </si>
  <si>
    <t>Jigger-30</t>
  </si>
  <si>
    <t>Jigger-31</t>
  </si>
  <si>
    <t>Jigger-32</t>
  </si>
  <si>
    <t>Stenter-01</t>
  </si>
  <si>
    <t>ST Main</t>
  </si>
  <si>
    <t>Main motor</t>
  </si>
  <si>
    <t>CH-01</t>
  </si>
  <si>
    <t>CH-02</t>
  </si>
  <si>
    <t>CH-03</t>
  </si>
  <si>
    <t>CH-04</t>
  </si>
  <si>
    <t>CH-05</t>
  </si>
  <si>
    <t>Ex-01</t>
  </si>
  <si>
    <t>Ex-02</t>
  </si>
  <si>
    <t>Mangle</t>
  </si>
  <si>
    <t>Stenter-03</t>
  </si>
  <si>
    <t>36 ST01</t>
  </si>
  <si>
    <t>Stenter-02</t>
  </si>
  <si>
    <t>36 ST02</t>
  </si>
  <si>
    <t>CH-06</t>
  </si>
  <si>
    <t>Ex-01 Off</t>
  </si>
  <si>
    <t>Ex-02 Off</t>
  </si>
  <si>
    <t>Ex-03</t>
  </si>
  <si>
    <t>Stenter-04</t>
  </si>
  <si>
    <t>EX-03</t>
  </si>
  <si>
    <t>Stenter-05</t>
  </si>
  <si>
    <t>Stenter-06</t>
  </si>
  <si>
    <t>CH-07</t>
  </si>
  <si>
    <t>Calender Machine</t>
  </si>
  <si>
    <t xml:space="preserve">Calender-01 </t>
  </si>
  <si>
    <t>Calender-02</t>
  </si>
  <si>
    <t>Calender-03</t>
  </si>
  <si>
    <t>Calender-04</t>
  </si>
  <si>
    <t>Calender-05</t>
  </si>
  <si>
    <t>DEKA</t>
  </si>
  <si>
    <t xml:space="preserve">Deka-01 </t>
  </si>
  <si>
    <t>Deka-02</t>
  </si>
  <si>
    <t>DRUM</t>
  </si>
  <si>
    <t>Drum-01</t>
  </si>
  <si>
    <t>Drum-02 off</t>
  </si>
  <si>
    <t>Drum-03 off</t>
  </si>
  <si>
    <t>Drum-04</t>
  </si>
  <si>
    <t>Drum-05</t>
  </si>
  <si>
    <t>Drum-06</t>
  </si>
  <si>
    <t>Drum-07</t>
  </si>
  <si>
    <t>Drum-08</t>
  </si>
  <si>
    <t>Mercerise</t>
  </si>
  <si>
    <t>Main</t>
  </si>
  <si>
    <t>Main Motor</t>
  </si>
  <si>
    <t>Lift</t>
  </si>
  <si>
    <t>Air comp-01</t>
  </si>
  <si>
    <t>Air comp-02</t>
  </si>
  <si>
    <t>Air comp-03</t>
  </si>
  <si>
    <t>(</t>
  </si>
  <si>
    <t>Softlina-01</t>
  </si>
  <si>
    <t>Softflow</t>
  </si>
  <si>
    <t>RO HP</t>
  </si>
  <si>
    <t>RO LP</t>
  </si>
  <si>
    <t xml:space="preserve">Dryer Main </t>
  </si>
  <si>
    <t>Dryer Blower</t>
  </si>
  <si>
    <t>Dryer Mangle</t>
  </si>
  <si>
    <t>Boiler</t>
  </si>
  <si>
    <t>Boiler main</t>
  </si>
  <si>
    <t>ID Fan</t>
  </si>
  <si>
    <t>FD Fan</t>
  </si>
  <si>
    <t>PA Fan-01</t>
  </si>
  <si>
    <t>DOL</t>
  </si>
  <si>
    <t>PA Fan-02</t>
  </si>
  <si>
    <t>Feed pump-01</t>
  </si>
  <si>
    <t>Feed pump-02</t>
  </si>
  <si>
    <t>Thermopack</t>
  </si>
  <si>
    <t>Thermopack Main</t>
  </si>
  <si>
    <t>ID fan</t>
  </si>
  <si>
    <t>PA fan-01</t>
  </si>
  <si>
    <t>PA Fan-2</t>
  </si>
  <si>
    <t>Circulation pump</t>
  </si>
  <si>
    <t>CRP Plant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</si>
</sst>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00"/>
  </numFmts>
  <fonts count="6">
    <font>
      <sz val="11.0"/>
      <color rgb="FF000000"/>
      <name val="Arial"/>
      <scheme val="minor"/>
    </font>
    <font>
      <b/>
      <sz val="11.0"/>
      <color theme="1"/>
      <name val="Times New Roman"/>
    </font>
    <font>
      <b/>
      <sz val="11.0"/>
      <color theme="1"/>
      <name val="Aptos Narrow"/>
    </font>
    <font>
      <color theme="1"/>
      <name val="Arial"/>
      <scheme val="minor"/>
    </font>
    <font>
      <sz val="11.0"/>
      <color theme="1"/>
      <name val="Times New Roman"/>
    </font>
    <font>
      <sz val="11.0"/>
      <color theme="1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3">
    <border/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wrapText="1"/>
    </xf>
    <xf borderId="0" fillId="3" fontId="4" numFmtId="0" xfId="0" applyAlignment="1" applyFill="1" applyFont="1">
      <alignment horizontal="center" readingOrder="0" vertical="center"/>
    </xf>
    <xf borderId="0" fillId="3" fontId="4" numFmtId="0" xfId="0" applyAlignment="1" applyFont="1">
      <alignment horizontal="left" readingOrder="0" vertical="center"/>
    </xf>
    <xf borderId="0" fillId="3" fontId="4" numFmtId="0" xfId="0" applyAlignment="1" applyFont="1">
      <alignment horizontal="center" vertical="center"/>
    </xf>
    <xf borderId="0" fillId="3" fontId="4" numFmtId="164" xfId="0" applyAlignment="1" applyFont="1" applyNumberFormat="1">
      <alignment horizontal="center" readingOrder="0" vertical="center"/>
    </xf>
    <xf borderId="0" fillId="3" fontId="4" numFmtId="2" xfId="0" applyAlignment="1" applyFont="1" applyNumberFormat="1">
      <alignment horizontal="center" vertical="center"/>
    </xf>
    <xf borderId="0" fillId="3" fontId="4" numFmtId="165" xfId="0" applyAlignment="1" applyFont="1" applyNumberFormat="1">
      <alignment horizontal="center" vertical="center"/>
    </xf>
    <xf borderId="0" fillId="3" fontId="3" numFmtId="0" xfId="0" applyFont="1"/>
    <xf borderId="2" fillId="0" fontId="4" numFmtId="0" xfId="0" applyAlignment="1" applyBorder="1" applyFont="1">
      <alignment horizontal="center" readingOrder="0" vertical="center"/>
    </xf>
    <xf borderId="2" fillId="0" fontId="4" numFmtId="0" xfId="0" applyAlignment="1" applyBorder="1" applyFont="1">
      <alignment horizontal="left" readingOrder="0" vertical="center"/>
    </xf>
    <xf borderId="2" fillId="0" fontId="4" numFmtId="0" xfId="0" applyAlignment="1" applyBorder="1" applyFont="1">
      <alignment horizontal="center" vertical="center"/>
    </xf>
    <xf borderId="2" fillId="0" fontId="4" numFmtId="164" xfId="0" applyAlignment="1" applyBorder="1" applyFont="1" applyNumberFormat="1">
      <alignment horizontal="center" readingOrder="0" vertical="center"/>
    </xf>
    <xf borderId="2" fillId="0" fontId="4" numFmtId="2" xfId="0" applyAlignment="1" applyBorder="1" applyFont="1" applyNumberFormat="1">
      <alignment horizontal="center" vertical="center"/>
    </xf>
    <xf borderId="2" fillId="0" fontId="4" numFmtId="165" xfId="0" applyAlignment="1" applyBorder="1" applyFont="1" applyNumberFormat="1">
      <alignment horizontal="center" vertical="center"/>
    </xf>
    <xf borderId="2" fillId="0" fontId="4" numFmtId="0" xfId="0" applyAlignment="1" applyBorder="1" applyFont="1">
      <alignment horizontal="left" vertical="center"/>
    </xf>
    <xf borderId="2" fillId="0" fontId="4" numFmtId="2" xfId="0" applyAlignment="1" applyBorder="1" applyFont="1" applyNumberFormat="1">
      <alignment horizontal="center" readingOrder="0" vertical="center"/>
    </xf>
    <xf borderId="2" fillId="0" fontId="4" numFmtId="165" xfId="0" applyAlignment="1" applyBorder="1" applyFont="1" applyNumberFormat="1">
      <alignment horizontal="center" readingOrder="0" vertical="center"/>
    </xf>
    <xf borderId="2" fillId="0" fontId="5" numFmtId="0" xfId="0" applyAlignment="1" applyBorder="1" applyFont="1">
      <alignment horizontal="center" vertical="center"/>
    </xf>
    <xf borderId="0" fillId="0" fontId="3" numFmtId="0" xfId="0" applyFont="1"/>
    <xf borderId="2" fillId="3" fontId="4" numFmtId="0" xfId="0" applyAlignment="1" applyBorder="1" applyFont="1">
      <alignment horizontal="center" readingOrder="0" vertical="center"/>
    </xf>
    <xf borderId="2" fillId="3" fontId="4" numFmtId="0" xfId="0" applyAlignment="1" applyBorder="1" applyFont="1">
      <alignment horizontal="left" readingOrder="0" vertical="center"/>
    </xf>
    <xf borderId="2" fillId="3" fontId="4" numFmtId="0" xfId="0" applyAlignment="1" applyBorder="1" applyFont="1">
      <alignment horizontal="center" vertical="center"/>
    </xf>
    <xf borderId="2" fillId="3" fontId="4" numFmtId="164" xfId="0" applyAlignment="1" applyBorder="1" applyFont="1" applyNumberFormat="1">
      <alignment horizontal="center" readingOrder="0" vertical="center"/>
    </xf>
    <xf borderId="2" fillId="3" fontId="4" numFmtId="2" xfId="0" applyAlignment="1" applyBorder="1" applyFont="1" applyNumberFormat="1">
      <alignment horizontal="center" vertical="center"/>
    </xf>
    <xf borderId="2" fillId="3" fontId="4" numFmtId="165" xfId="0" applyAlignment="1" applyBorder="1" applyFont="1" applyNumberFormat="1">
      <alignment horizontal="center" vertical="center"/>
    </xf>
    <xf borderId="2" fillId="0" fontId="5" numFmtId="0" xfId="0" applyAlignment="1" applyBorder="1" applyFont="1">
      <alignment horizontal="center" readingOrder="0" vertical="center"/>
    </xf>
    <xf borderId="2" fillId="3" fontId="5" numFmtId="0" xfId="0" applyAlignment="1" applyBorder="1" applyFont="1">
      <alignment horizontal="center" vertical="center"/>
    </xf>
    <xf borderId="0" fillId="0" fontId="3" numFmtId="0" xfId="0" applyAlignment="1" applyFont="1">
      <alignment readingOrder="0"/>
    </xf>
    <xf borderId="2" fillId="0" fontId="4" numFmtId="0" xfId="0" applyAlignment="1" applyBorder="1" applyFont="1">
      <alignment horizontal="center"/>
    </xf>
    <xf borderId="2" fillId="0" fontId="4" numFmtId="164" xfId="0" applyAlignment="1" applyBorder="1" applyFont="1" applyNumberFormat="1">
      <alignment horizontal="center"/>
    </xf>
    <xf borderId="2" fillId="0" fontId="4" numFmtId="0" xfId="0" applyAlignment="1" applyBorder="1" applyFont="1">
      <alignment horizontal="center"/>
    </xf>
    <xf borderId="2" fillId="0" fontId="4" numFmtId="2" xfId="0" applyAlignment="1" applyBorder="1" applyFont="1" applyNumberFormat="1">
      <alignment horizontal="center"/>
    </xf>
    <xf borderId="2" fillId="0" fontId="4" numFmtId="165" xfId="0" applyAlignment="1" applyBorder="1" applyFont="1" applyNumberFormat="1">
      <alignment horizontal="center"/>
    </xf>
    <xf borderId="0" fillId="0" fontId="3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7.38"/>
    <col customWidth="1" min="2" max="2" width="16.63"/>
    <col customWidth="1" min="3" max="3" width="13.0"/>
    <col customWidth="1" min="4" max="4" width="11.38"/>
    <col customWidth="1" min="5" max="5" width="7.13"/>
    <col customWidth="1" min="6" max="6" width="6.75"/>
    <col customWidth="1" min="7" max="12" width="9.25"/>
    <col customWidth="1" min="13" max="13" width="10.38"/>
    <col customWidth="1" min="14" max="16" width="11.38"/>
    <col customWidth="1" min="17" max="17" width="34.0"/>
    <col customWidth="1" min="18" max="21" width="8.75"/>
    <col customWidth="1" min="22" max="27" width="1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3"/>
      <c r="S1" s="3"/>
      <c r="T1" s="3"/>
      <c r="U1" s="3"/>
      <c r="V1" s="4"/>
      <c r="W1" s="4"/>
      <c r="X1" s="4"/>
      <c r="Y1" s="4"/>
      <c r="Z1" s="4"/>
      <c r="AA1" s="4"/>
    </row>
    <row r="2">
      <c r="A2" s="5" t="s">
        <v>17</v>
      </c>
      <c r="B2" s="6" t="s">
        <v>18</v>
      </c>
      <c r="C2" s="7"/>
      <c r="D2" s="7"/>
      <c r="E2" s="8"/>
      <c r="F2" s="5"/>
      <c r="G2" s="9"/>
      <c r="H2" s="9"/>
      <c r="I2" s="9"/>
      <c r="J2" s="10"/>
      <c r="K2" s="9"/>
      <c r="L2" s="9"/>
      <c r="M2" s="9"/>
      <c r="N2" s="9"/>
      <c r="O2" s="9"/>
      <c r="P2" s="9"/>
      <c r="Q2" s="7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>
      <c r="A3" s="12">
        <v>1.0</v>
      </c>
      <c r="B3" s="13" t="s">
        <v>19</v>
      </c>
      <c r="C3" s="14"/>
      <c r="D3" s="14"/>
      <c r="E3" s="15">
        <f t="shared" ref="E3:E52" si="1">F3*0.75</f>
        <v>9.375</v>
      </c>
      <c r="F3" s="12">
        <v>12.5</v>
      </c>
      <c r="G3" s="16"/>
      <c r="H3" s="16"/>
      <c r="I3" s="16"/>
      <c r="J3" s="17"/>
      <c r="K3" s="16"/>
      <c r="L3" s="16"/>
      <c r="M3" s="16">
        <f t="shared" ref="M3:M33" si="2">1.732*G3*H3*J3/1000</f>
        <v>0</v>
      </c>
      <c r="N3" s="16">
        <f t="shared" ref="N3:N52" si="3">L3/E3</f>
        <v>0</v>
      </c>
      <c r="O3" s="16"/>
      <c r="P3" s="16"/>
      <c r="Q3" s="14"/>
    </row>
    <row r="4">
      <c r="A4" s="12">
        <f t="shared" ref="A4:A52" si="4">A3+1</f>
        <v>2</v>
      </c>
      <c r="B4" s="18" t="s">
        <v>20</v>
      </c>
      <c r="C4" s="14" t="s">
        <v>21</v>
      </c>
      <c r="D4" s="14">
        <v>43.0</v>
      </c>
      <c r="E4" s="15">
        <f t="shared" si="1"/>
        <v>7.5</v>
      </c>
      <c r="F4" s="12">
        <v>10.0</v>
      </c>
      <c r="G4" s="16">
        <v>412.1</v>
      </c>
      <c r="H4" s="16">
        <v>9.37</v>
      </c>
      <c r="I4" s="16">
        <v>6.63</v>
      </c>
      <c r="J4" s="17">
        <v>0.997</v>
      </c>
      <c r="K4" s="16">
        <v>0.46</v>
      </c>
      <c r="L4" s="16">
        <v>6.62</v>
      </c>
      <c r="M4" s="16">
        <f t="shared" si="2"/>
        <v>6.667841249</v>
      </c>
      <c r="N4" s="16">
        <f t="shared" si="3"/>
        <v>0.8826666667</v>
      </c>
      <c r="O4" s="16"/>
      <c r="P4" s="16"/>
      <c r="Q4" s="14"/>
    </row>
    <row r="5">
      <c r="A5" s="12">
        <f t="shared" si="4"/>
        <v>3</v>
      </c>
      <c r="B5" s="18" t="s">
        <v>22</v>
      </c>
      <c r="C5" s="12" t="s">
        <v>21</v>
      </c>
      <c r="D5" s="12">
        <v>33.8</v>
      </c>
      <c r="E5" s="15">
        <f t="shared" si="1"/>
        <v>7.5</v>
      </c>
      <c r="F5" s="12">
        <v>10.0</v>
      </c>
      <c r="G5" s="19">
        <v>409.0</v>
      </c>
      <c r="H5" s="19">
        <v>7.82</v>
      </c>
      <c r="I5" s="19">
        <v>5.48</v>
      </c>
      <c r="J5" s="20">
        <v>0.993</v>
      </c>
      <c r="K5" s="19">
        <v>0.63</v>
      </c>
      <c r="L5" s="19">
        <v>5.47</v>
      </c>
      <c r="M5" s="16">
        <f t="shared" si="2"/>
        <v>5.500817001</v>
      </c>
      <c r="N5" s="16">
        <f t="shared" si="3"/>
        <v>0.7293333333</v>
      </c>
      <c r="O5" s="16"/>
      <c r="P5" s="16"/>
      <c r="Q5" s="12" t="s">
        <v>23</v>
      </c>
    </row>
    <row r="6">
      <c r="A6" s="12">
        <f t="shared" si="4"/>
        <v>4</v>
      </c>
      <c r="B6" s="18" t="s">
        <v>24</v>
      </c>
      <c r="C6" s="14" t="s">
        <v>21</v>
      </c>
      <c r="D6" s="21" t="s">
        <v>25</v>
      </c>
      <c r="E6" s="15">
        <f t="shared" si="1"/>
        <v>7.5</v>
      </c>
      <c r="F6" s="12">
        <v>10.0</v>
      </c>
      <c r="G6" s="16">
        <v>416.6</v>
      </c>
      <c r="H6" s="16">
        <v>6.64</v>
      </c>
      <c r="I6" s="16">
        <v>4.67</v>
      </c>
      <c r="J6" s="17">
        <v>0.991</v>
      </c>
      <c r="K6" s="16">
        <v>0.59</v>
      </c>
      <c r="L6" s="16">
        <v>4.64</v>
      </c>
      <c r="M6" s="16">
        <f t="shared" si="2"/>
        <v>4.747980068</v>
      </c>
      <c r="N6" s="16">
        <f t="shared" si="3"/>
        <v>0.6186666667</v>
      </c>
      <c r="O6" s="16"/>
      <c r="P6" s="16"/>
      <c r="Q6" s="14"/>
    </row>
    <row r="7">
      <c r="A7" s="12">
        <f t="shared" si="4"/>
        <v>5</v>
      </c>
      <c r="B7" s="18" t="s">
        <v>26</v>
      </c>
      <c r="C7" s="14" t="s">
        <v>21</v>
      </c>
      <c r="D7" s="14">
        <v>45.0</v>
      </c>
      <c r="E7" s="15">
        <f t="shared" si="1"/>
        <v>7.5</v>
      </c>
      <c r="F7" s="12">
        <v>10.0</v>
      </c>
      <c r="G7" s="16">
        <v>410.5</v>
      </c>
      <c r="H7" s="16">
        <v>10.53</v>
      </c>
      <c r="I7" s="16">
        <v>7.36</v>
      </c>
      <c r="J7" s="17">
        <v>0.971</v>
      </c>
      <c r="K7" s="16">
        <v>1.75</v>
      </c>
      <c r="L7" s="16">
        <v>7.18</v>
      </c>
      <c r="M7" s="16">
        <f t="shared" si="2"/>
        <v>7.269568785</v>
      </c>
      <c r="N7" s="16">
        <f t="shared" si="3"/>
        <v>0.9573333333</v>
      </c>
      <c r="O7" s="16"/>
      <c r="P7" s="16"/>
      <c r="Q7" s="14"/>
      <c r="T7" s="22" t="s">
        <v>27</v>
      </c>
      <c r="U7" s="22" t="s">
        <v>28</v>
      </c>
    </row>
    <row r="8" ht="15.75" customHeight="1">
      <c r="A8" s="12">
        <f t="shared" si="4"/>
        <v>6</v>
      </c>
      <c r="B8" s="18" t="s">
        <v>29</v>
      </c>
      <c r="C8" s="14" t="s">
        <v>21</v>
      </c>
      <c r="D8" s="21">
        <v>43.55</v>
      </c>
      <c r="E8" s="15">
        <f t="shared" si="1"/>
        <v>7.5</v>
      </c>
      <c r="F8" s="12">
        <v>10.0</v>
      </c>
      <c r="G8" s="16">
        <v>415.4</v>
      </c>
      <c r="H8" s="16">
        <v>10.52</v>
      </c>
      <c r="I8" s="16">
        <v>7.45</v>
      </c>
      <c r="J8" s="17">
        <v>0.983</v>
      </c>
      <c r="K8" s="16">
        <v>1.34</v>
      </c>
      <c r="L8" s="16">
        <v>7.33</v>
      </c>
      <c r="M8" s="16">
        <f t="shared" si="2"/>
        <v>7.44018334</v>
      </c>
      <c r="N8" s="16">
        <f t="shared" si="3"/>
        <v>0.9773333333</v>
      </c>
      <c r="O8" s="16"/>
      <c r="P8" s="16"/>
      <c r="Q8" s="16"/>
    </row>
    <row r="9" ht="15.75" customHeight="1">
      <c r="A9" s="12">
        <f t="shared" si="4"/>
        <v>7</v>
      </c>
      <c r="B9" s="18" t="s">
        <v>30</v>
      </c>
      <c r="C9" s="14" t="s">
        <v>21</v>
      </c>
      <c r="D9" s="21">
        <v>44.0</v>
      </c>
      <c r="E9" s="15">
        <f t="shared" si="1"/>
        <v>7.5</v>
      </c>
      <c r="F9" s="12">
        <v>10.0</v>
      </c>
      <c r="G9" s="16">
        <v>415.3</v>
      </c>
      <c r="H9" s="16">
        <v>11.12</v>
      </c>
      <c r="I9" s="16">
        <v>7.98</v>
      </c>
      <c r="J9" s="17">
        <v>0.988</v>
      </c>
      <c r="K9" s="16">
        <v>1.19</v>
      </c>
      <c r="L9" s="16">
        <v>7.86</v>
      </c>
      <c r="M9" s="16">
        <f t="shared" si="2"/>
        <v>7.902628213</v>
      </c>
      <c r="N9" s="16">
        <f t="shared" si="3"/>
        <v>1.048</v>
      </c>
      <c r="O9" s="16"/>
      <c r="P9" s="16"/>
      <c r="Q9" s="16"/>
    </row>
    <row r="10" ht="15.75" customHeight="1">
      <c r="A10" s="12">
        <f t="shared" si="4"/>
        <v>8</v>
      </c>
      <c r="B10" s="18" t="s">
        <v>31</v>
      </c>
      <c r="C10" s="14" t="s">
        <v>21</v>
      </c>
      <c r="D10" s="21">
        <v>39.55</v>
      </c>
      <c r="E10" s="15">
        <f t="shared" si="1"/>
        <v>7.5</v>
      </c>
      <c r="F10" s="12">
        <v>10.0</v>
      </c>
      <c r="G10" s="16">
        <v>414.6</v>
      </c>
      <c r="H10" s="16">
        <v>6.66</v>
      </c>
      <c r="I10" s="16">
        <v>4.72</v>
      </c>
      <c r="J10" s="17">
        <v>0.994</v>
      </c>
      <c r="K10" s="16">
        <v>0.5</v>
      </c>
      <c r="L10" s="16">
        <v>4.69</v>
      </c>
      <c r="M10" s="16">
        <f t="shared" si="2"/>
        <v>4.753765987</v>
      </c>
      <c r="N10" s="16">
        <f t="shared" si="3"/>
        <v>0.6253333333</v>
      </c>
      <c r="O10" s="16"/>
      <c r="P10" s="16"/>
      <c r="Q10" s="16"/>
    </row>
    <row r="11">
      <c r="A11" s="12">
        <f t="shared" si="4"/>
        <v>9</v>
      </c>
      <c r="B11" s="18" t="s">
        <v>32</v>
      </c>
      <c r="C11" s="14"/>
      <c r="D11" s="14"/>
      <c r="E11" s="15">
        <f t="shared" si="1"/>
        <v>7.5</v>
      </c>
      <c r="F11" s="12">
        <v>10.0</v>
      </c>
      <c r="G11" s="16"/>
      <c r="H11" s="16"/>
      <c r="I11" s="16"/>
      <c r="J11" s="17"/>
      <c r="K11" s="16"/>
      <c r="L11" s="16"/>
      <c r="M11" s="16">
        <f t="shared" si="2"/>
        <v>0</v>
      </c>
      <c r="N11" s="16">
        <f t="shared" si="3"/>
        <v>0</v>
      </c>
      <c r="O11" s="16"/>
      <c r="P11" s="16"/>
      <c r="Q11" s="14"/>
    </row>
    <row r="12">
      <c r="A12" s="12">
        <f t="shared" si="4"/>
        <v>10</v>
      </c>
      <c r="B12" s="18" t="s">
        <v>33</v>
      </c>
      <c r="C12" s="14"/>
      <c r="D12" s="14"/>
      <c r="E12" s="15">
        <f t="shared" si="1"/>
        <v>7.5</v>
      </c>
      <c r="F12" s="12">
        <v>10.0</v>
      </c>
      <c r="G12" s="16"/>
      <c r="H12" s="16"/>
      <c r="I12" s="16"/>
      <c r="J12" s="17"/>
      <c r="K12" s="16"/>
      <c r="L12" s="16"/>
      <c r="M12" s="16">
        <f t="shared" si="2"/>
        <v>0</v>
      </c>
      <c r="N12" s="16">
        <f t="shared" si="3"/>
        <v>0</v>
      </c>
      <c r="O12" s="16"/>
      <c r="P12" s="16"/>
      <c r="Q12" s="14"/>
    </row>
    <row r="13">
      <c r="A13" s="12">
        <f t="shared" si="4"/>
        <v>11</v>
      </c>
      <c r="B13" s="18" t="s">
        <v>34</v>
      </c>
      <c r="C13" s="14" t="s">
        <v>21</v>
      </c>
      <c r="D13" s="14">
        <v>36.83</v>
      </c>
      <c r="E13" s="15">
        <f t="shared" si="1"/>
        <v>7.5</v>
      </c>
      <c r="F13" s="12">
        <v>10.0</v>
      </c>
      <c r="G13" s="16">
        <v>411.4</v>
      </c>
      <c r="H13" s="16">
        <v>5.03</v>
      </c>
      <c r="I13" s="16">
        <v>3.44</v>
      </c>
      <c r="J13" s="17">
        <v>0.983</v>
      </c>
      <c r="K13" s="16">
        <v>0.62</v>
      </c>
      <c r="L13" s="16">
        <v>3.38</v>
      </c>
      <c r="M13" s="16">
        <f t="shared" si="2"/>
        <v>3.523170638</v>
      </c>
      <c r="N13" s="16">
        <f t="shared" si="3"/>
        <v>0.4506666667</v>
      </c>
      <c r="O13" s="16"/>
      <c r="P13" s="16"/>
      <c r="Q13" s="14"/>
    </row>
    <row r="14">
      <c r="A14" s="12">
        <f t="shared" si="4"/>
        <v>12</v>
      </c>
      <c r="B14" s="18" t="s">
        <v>35</v>
      </c>
      <c r="C14" s="14" t="s">
        <v>21</v>
      </c>
      <c r="D14" s="14">
        <v>33.0</v>
      </c>
      <c r="E14" s="15">
        <f t="shared" si="1"/>
        <v>7.5</v>
      </c>
      <c r="F14" s="12">
        <v>10.0</v>
      </c>
      <c r="G14" s="16">
        <v>414.2</v>
      </c>
      <c r="H14" s="16">
        <v>5.75</v>
      </c>
      <c r="I14" s="16">
        <v>4.07</v>
      </c>
      <c r="J14" s="17">
        <v>0.976</v>
      </c>
      <c r="K14" s="16">
        <v>0.87</v>
      </c>
      <c r="L14" s="16">
        <v>3.98</v>
      </c>
      <c r="M14" s="16">
        <f t="shared" si="2"/>
        <v>4.026017373</v>
      </c>
      <c r="N14" s="16">
        <f t="shared" si="3"/>
        <v>0.5306666667</v>
      </c>
      <c r="O14" s="16"/>
      <c r="P14" s="16"/>
      <c r="Q14" s="14"/>
    </row>
    <row r="15">
      <c r="A15" s="12">
        <f t="shared" si="4"/>
        <v>13</v>
      </c>
      <c r="B15" s="18" t="s">
        <v>36</v>
      </c>
      <c r="C15" s="14" t="s">
        <v>21</v>
      </c>
      <c r="D15" s="14">
        <v>32.12</v>
      </c>
      <c r="E15" s="15">
        <f t="shared" si="1"/>
        <v>7.5</v>
      </c>
      <c r="F15" s="12">
        <v>10.0</v>
      </c>
      <c r="G15" s="16">
        <v>412.8</v>
      </c>
      <c r="H15" s="16">
        <v>3.51</v>
      </c>
      <c r="I15" s="16">
        <v>2.41</v>
      </c>
      <c r="J15" s="17">
        <v>0.978</v>
      </c>
      <c r="K15" s="16">
        <v>0.49</v>
      </c>
      <c r="L15" s="16">
        <v>2.36</v>
      </c>
      <c r="M15" s="16">
        <f t="shared" si="2"/>
        <v>2.454333343</v>
      </c>
      <c r="N15" s="16">
        <f t="shared" si="3"/>
        <v>0.3146666667</v>
      </c>
      <c r="O15" s="16"/>
      <c r="P15" s="16"/>
      <c r="Q15" s="14"/>
    </row>
    <row r="16">
      <c r="A16" s="12">
        <f t="shared" si="4"/>
        <v>14</v>
      </c>
      <c r="B16" s="18" t="s">
        <v>37</v>
      </c>
      <c r="C16" s="14"/>
      <c r="D16" s="14"/>
      <c r="E16" s="15">
        <f t="shared" si="1"/>
        <v>7.5</v>
      </c>
      <c r="F16" s="12">
        <v>10.0</v>
      </c>
      <c r="G16" s="16"/>
      <c r="H16" s="16"/>
      <c r="I16" s="16"/>
      <c r="J16" s="17"/>
      <c r="K16" s="16"/>
      <c r="L16" s="16"/>
      <c r="M16" s="16">
        <f t="shared" si="2"/>
        <v>0</v>
      </c>
      <c r="N16" s="16">
        <f t="shared" si="3"/>
        <v>0</v>
      </c>
      <c r="O16" s="16"/>
      <c r="P16" s="16"/>
      <c r="Q16" s="14"/>
    </row>
    <row r="17">
      <c r="A17" s="12">
        <f t="shared" si="4"/>
        <v>15</v>
      </c>
      <c r="B17" s="18" t="s">
        <v>38</v>
      </c>
      <c r="C17" s="14" t="s">
        <v>21</v>
      </c>
      <c r="D17" s="14">
        <v>45.0</v>
      </c>
      <c r="E17" s="15">
        <f t="shared" si="1"/>
        <v>7.5</v>
      </c>
      <c r="F17" s="12">
        <v>10.0</v>
      </c>
      <c r="G17" s="16">
        <v>420.0</v>
      </c>
      <c r="H17" s="16">
        <v>7.55</v>
      </c>
      <c r="I17" s="16">
        <v>5.39</v>
      </c>
      <c r="J17" s="17">
        <v>0.991</v>
      </c>
      <c r="K17" s="16">
        <v>0.68</v>
      </c>
      <c r="L17" s="16">
        <v>5.35</v>
      </c>
      <c r="M17" s="16">
        <f t="shared" si="2"/>
        <v>5.442742452</v>
      </c>
      <c r="N17" s="16">
        <f t="shared" si="3"/>
        <v>0.7133333333</v>
      </c>
      <c r="O17" s="16"/>
      <c r="P17" s="16"/>
      <c r="Q17" s="14"/>
    </row>
    <row r="18">
      <c r="A18" s="12">
        <f t="shared" si="4"/>
        <v>16</v>
      </c>
      <c r="B18" s="18" t="s">
        <v>39</v>
      </c>
      <c r="C18" s="14"/>
      <c r="D18" s="14"/>
      <c r="E18" s="15">
        <f t="shared" si="1"/>
        <v>7.5</v>
      </c>
      <c r="F18" s="12">
        <v>10.0</v>
      </c>
      <c r="G18" s="16"/>
      <c r="H18" s="16"/>
      <c r="I18" s="16"/>
      <c r="J18" s="17"/>
      <c r="K18" s="16"/>
      <c r="L18" s="16"/>
      <c r="M18" s="16">
        <f t="shared" si="2"/>
        <v>0</v>
      </c>
      <c r="N18" s="16">
        <f t="shared" si="3"/>
        <v>0</v>
      </c>
      <c r="O18" s="16"/>
      <c r="P18" s="16"/>
      <c r="Q18" s="14"/>
    </row>
    <row r="19">
      <c r="A19" s="12">
        <f t="shared" si="4"/>
        <v>17</v>
      </c>
      <c r="B19" s="18" t="s">
        <v>40</v>
      </c>
      <c r="C19" s="14"/>
      <c r="D19" s="12"/>
      <c r="E19" s="15">
        <f t="shared" si="1"/>
        <v>11.25</v>
      </c>
      <c r="F19" s="12">
        <v>15.0</v>
      </c>
      <c r="G19" s="16"/>
      <c r="H19" s="16"/>
      <c r="I19" s="16"/>
      <c r="J19" s="17"/>
      <c r="K19" s="16"/>
      <c r="L19" s="16"/>
      <c r="M19" s="16">
        <f t="shared" si="2"/>
        <v>0</v>
      </c>
      <c r="N19" s="16">
        <f t="shared" si="3"/>
        <v>0</v>
      </c>
      <c r="O19" s="16"/>
      <c r="P19" s="16"/>
      <c r="Q19" s="14"/>
    </row>
    <row r="20">
      <c r="A20" s="12">
        <f t="shared" si="4"/>
        <v>18</v>
      </c>
      <c r="B20" s="18" t="s">
        <v>41</v>
      </c>
      <c r="C20" s="14" t="s">
        <v>21</v>
      </c>
      <c r="D20" s="14">
        <v>36.0</v>
      </c>
      <c r="E20" s="15">
        <f t="shared" si="1"/>
        <v>7.5</v>
      </c>
      <c r="F20" s="12">
        <v>10.0</v>
      </c>
      <c r="G20" s="16">
        <v>409.7</v>
      </c>
      <c r="H20" s="16">
        <v>4.83</v>
      </c>
      <c r="I20" s="16">
        <v>3.36</v>
      </c>
      <c r="J20" s="17">
        <v>0.977</v>
      </c>
      <c r="K20" s="16">
        <v>0.7</v>
      </c>
      <c r="L20" s="16">
        <v>3.29</v>
      </c>
      <c r="M20" s="16">
        <f t="shared" si="2"/>
        <v>3.348540424</v>
      </c>
      <c r="N20" s="16">
        <f t="shared" si="3"/>
        <v>0.4386666667</v>
      </c>
      <c r="O20" s="16"/>
      <c r="P20" s="16"/>
      <c r="Q20" s="14"/>
    </row>
    <row r="21">
      <c r="A21" s="12">
        <f t="shared" si="4"/>
        <v>19</v>
      </c>
      <c r="B21" s="18" t="s">
        <v>42</v>
      </c>
      <c r="C21" s="14" t="s">
        <v>21</v>
      </c>
      <c r="D21" s="14">
        <v>32.32</v>
      </c>
      <c r="E21" s="15">
        <f t="shared" si="1"/>
        <v>7.5</v>
      </c>
      <c r="F21" s="12">
        <v>10.0</v>
      </c>
      <c r="G21" s="16">
        <v>415.5</v>
      </c>
      <c r="H21" s="16">
        <v>3.53</v>
      </c>
      <c r="I21" s="16">
        <v>2.44</v>
      </c>
      <c r="J21" s="17">
        <v>0.982</v>
      </c>
      <c r="K21" s="16">
        <v>0.45</v>
      </c>
      <c r="L21" s="16">
        <v>2.39</v>
      </c>
      <c r="M21" s="16">
        <f t="shared" si="2"/>
        <v>2.494624073</v>
      </c>
      <c r="N21" s="16">
        <f t="shared" si="3"/>
        <v>0.3186666667</v>
      </c>
      <c r="O21" s="16"/>
      <c r="P21" s="16"/>
      <c r="Q21" s="14"/>
    </row>
    <row r="22">
      <c r="A22" s="12">
        <f t="shared" si="4"/>
        <v>20</v>
      </c>
      <c r="B22" s="18" t="s">
        <v>43</v>
      </c>
      <c r="C22" s="14" t="s">
        <v>21</v>
      </c>
      <c r="D22" s="14">
        <v>29.61</v>
      </c>
      <c r="E22" s="15">
        <f t="shared" si="1"/>
        <v>7.5</v>
      </c>
      <c r="F22" s="12">
        <v>10.0</v>
      </c>
      <c r="G22" s="16">
        <v>416.5</v>
      </c>
      <c r="H22" s="16">
        <v>3.96</v>
      </c>
      <c r="I22" s="16">
        <v>2.67</v>
      </c>
      <c r="J22" s="17">
        <v>0.986</v>
      </c>
      <c r="K22" s="16">
        <v>0.44</v>
      </c>
      <c r="L22" s="16">
        <v>2.64</v>
      </c>
      <c r="M22" s="16">
        <f t="shared" si="2"/>
        <v>2.816663684</v>
      </c>
      <c r="N22" s="16">
        <f t="shared" si="3"/>
        <v>0.352</v>
      </c>
      <c r="O22" s="16"/>
      <c r="P22" s="16"/>
      <c r="Q22" s="14"/>
    </row>
    <row r="23">
      <c r="A23" s="12">
        <f t="shared" si="4"/>
        <v>21</v>
      </c>
      <c r="B23" s="18" t="s">
        <v>44</v>
      </c>
      <c r="C23" s="14" t="s">
        <v>21</v>
      </c>
      <c r="D23" s="14">
        <v>37.56</v>
      </c>
      <c r="E23" s="15">
        <f t="shared" si="1"/>
        <v>7.5</v>
      </c>
      <c r="F23" s="12">
        <v>10.0</v>
      </c>
      <c r="G23" s="16">
        <v>416.5</v>
      </c>
      <c r="H23" s="16">
        <v>5.92</v>
      </c>
      <c r="I23" s="16">
        <v>4.17</v>
      </c>
      <c r="J23" s="17">
        <v>0.993</v>
      </c>
      <c r="K23" s="16">
        <v>0.47</v>
      </c>
      <c r="L23" s="16">
        <v>4.14</v>
      </c>
      <c r="M23" s="16">
        <f t="shared" si="2"/>
        <v>4.240663856</v>
      </c>
      <c r="N23" s="16">
        <f t="shared" si="3"/>
        <v>0.552</v>
      </c>
      <c r="O23" s="16"/>
      <c r="P23" s="16"/>
      <c r="Q23" s="14"/>
    </row>
    <row r="24">
      <c r="A24" s="12">
        <f t="shared" si="4"/>
        <v>22</v>
      </c>
      <c r="B24" s="18" t="s">
        <v>45</v>
      </c>
      <c r="C24" s="14" t="s">
        <v>21</v>
      </c>
      <c r="D24" s="14" t="s">
        <v>25</v>
      </c>
      <c r="E24" s="15">
        <f t="shared" si="1"/>
        <v>7.5</v>
      </c>
      <c r="F24" s="12">
        <v>10.0</v>
      </c>
      <c r="G24" s="16">
        <v>414.0</v>
      </c>
      <c r="H24" s="16">
        <v>8.22</v>
      </c>
      <c r="I24" s="16">
        <v>5.74</v>
      </c>
      <c r="J24" s="17">
        <v>0.982</v>
      </c>
      <c r="K24" s="16">
        <v>1.06</v>
      </c>
      <c r="L24" s="16">
        <v>5.65</v>
      </c>
      <c r="M24" s="16">
        <f t="shared" si="2"/>
        <v>5.788040138</v>
      </c>
      <c r="N24" s="16">
        <f t="shared" si="3"/>
        <v>0.7533333333</v>
      </c>
      <c r="O24" s="16"/>
      <c r="P24" s="16"/>
      <c r="Q24" s="14"/>
    </row>
    <row r="25">
      <c r="A25" s="12">
        <f t="shared" si="4"/>
        <v>23</v>
      </c>
      <c r="B25" s="18" t="s">
        <v>46</v>
      </c>
      <c r="C25" s="14" t="s">
        <v>21</v>
      </c>
      <c r="D25" s="14">
        <v>38.18</v>
      </c>
      <c r="E25" s="15">
        <f t="shared" si="1"/>
        <v>7.5</v>
      </c>
      <c r="F25" s="12">
        <v>10.0</v>
      </c>
      <c r="G25" s="16">
        <v>411.4</v>
      </c>
      <c r="H25" s="16">
        <v>6.82</v>
      </c>
      <c r="I25" s="16">
        <v>4.73</v>
      </c>
      <c r="J25" s="17">
        <v>0.98</v>
      </c>
      <c r="K25" s="16">
        <v>0.93</v>
      </c>
      <c r="L25" s="16">
        <v>4.64</v>
      </c>
      <c r="M25" s="16">
        <f t="shared" si="2"/>
        <v>4.762364425</v>
      </c>
      <c r="N25" s="16">
        <f t="shared" si="3"/>
        <v>0.6186666667</v>
      </c>
      <c r="O25" s="16"/>
      <c r="P25" s="16"/>
      <c r="Q25" s="14"/>
    </row>
    <row r="26">
      <c r="A26" s="12">
        <f t="shared" si="4"/>
        <v>24</v>
      </c>
      <c r="B26" s="18" t="s">
        <v>47</v>
      </c>
      <c r="C26" s="14" t="s">
        <v>21</v>
      </c>
      <c r="D26" s="14">
        <v>38.0</v>
      </c>
      <c r="E26" s="15">
        <f t="shared" si="1"/>
        <v>7.5</v>
      </c>
      <c r="F26" s="12">
        <v>10.0</v>
      </c>
      <c r="G26" s="16">
        <v>407.5</v>
      </c>
      <c r="H26" s="16">
        <v>6.41</v>
      </c>
      <c r="I26" s="16">
        <v>4.52</v>
      </c>
      <c r="J26" s="17">
        <v>0.975</v>
      </c>
      <c r="K26" s="16">
        <v>0.99</v>
      </c>
      <c r="L26" s="16">
        <v>4.38</v>
      </c>
      <c r="M26" s="16">
        <f t="shared" si="2"/>
        <v>4.411011053</v>
      </c>
      <c r="N26" s="16">
        <f t="shared" si="3"/>
        <v>0.584</v>
      </c>
      <c r="O26" s="16"/>
      <c r="P26" s="16"/>
      <c r="Q26" s="14"/>
    </row>
    <row r="27">
      <c r="A27" s="12">
        <f t="shared" si="4"/>
        <v>25</v>
      </c>
      <c r="B27" s="18" t="s">
        <v>48</v>
      </c>
      <c r="C27" s="14" t="s">
        <v>21</v>
      </c>
      <c r="D27" s="14">
        <v>38.67</v>
      </c>
      <c r="E27" s="15">
        <f t="shared" si="1"/>
        <v>7.5</v>
      </c>
      <c r="F27" s="12">
        <v>10.0</v>
      </c>
      <c r="G27" s="16">
        <v>416.7</v>
      </c>
      <c r="H27" s="16">
        <v>5.14</v>
      </c>
      <c r="I27" s="16">
        <v>3.68</v>
      </c>
      <c r="J27" s="17">
        <v>0.965</v>
      </c>
      <c r="K27" s="16">
        <v>0.96</v>
      </c>
      <c r="L27" s="16">
        <v>3.55</v>
      </c>
      <c r="M27" s="16">
        <f t="shared" si="2"/>
        <v>3.579825196</v>
      </c>
      <c r="N27" s="16">
        <f t="shared" si="3"/>
        <v>0.4733333333</v>
      </c>
      <c r="O27" s="16"/>
      <c r="P27" s="16"/>
      <c r="Q27" s="14"/>
    </row>
    <row r="28">
      <c r="A28" s="12">
        <f t="shared" si="4"/>
        <v>26</v>
      </c>
      <c r="B28" s="18" t="s">
        <v>49</v>
      </c>
      <c r="C28" s="14" t="s">
        <v>21</v>
      </c>
      <c r="D28" s="14">
        <v>38.95</v>
      </c>
      <c r="E28" s="15">
        <f t="shared" si="1"/>
        <v>7.5</v>
      </c>
      <c r="F28" s="12">
        <v>10.0</v>
      </c>
      <c r="G28" s="16">
        <v>411.5</v>
      </c>
      <c r="H28" s="16">
        <v>5.08</v>
      </c>
      <c r="I28" s="16">
        <v>3.56</v>
      </c>
      <c r="J28" s="17">
        <v>0.985</v>
      </c>
      <c r="K28" s="16">
        <v>0.6</v>
      </c>
      <c r="L28" s="16">
        <v>3.51</v>
      </c>
      <c r="M28" s="16">
        <f t="shared" si="2"/>
        <v>3.566298328</v>
      </c>
      <c r="N28" s="16">
        <f t="shared" si="3"/>
        <v>0.468</v>
      </c>
      <c r="O28" s="16"/>
      <c r="P28" s="16"/>
      <c r="Q28" s="14"/>
    </row>
    <row r="29">
      <c r="A29" s="12">
        <f t="shared" si="4"/>
        <v>27</v>
      </c>
      <c r="B29" s="18" t="s">
        <v>50</v>
      </c>
      <c r="C29" s="14" t="s">
        <v>21</v>
      </c>
      <c r="D29" s="14">
        <v>37.98</v>
      </c>
      <c r="E29" s="15">
        <f t="shared" si="1"/>
        <v>7.5</v>
      </c>
      <c r="F29" s="12">
        <v>10.0</v>
      </c>
      <c r="G29" s="16">
        <v>401.7</v>
      </c>
      <c r="H29" s="16">
        <v>7.26</v>
      </c>
      <c r="I29" s="16">
        <v>5.12</v>
      </c>
      <c r="J29" s="17">
        <v>0.982</v>
      </c>
      <c r="K29" s="16">
        <v>0.96</v>
      </c>
      <c r="L29" s="16">
        <v>5.03</v>
      </c>
      <c r="M29" s="16">
        <f t="shared" si="2"/>
        <v>4.960184466</v>
      </c>
      <c r="N29" s="16">
        <f t="shared" si="3"/>
        <v>0.6706666667</v>
      </c>
      <c r="O29" s="16"/>
      <c r="P29" s="16"/>
      <c r="Q29" s="14"/>
    </row>
    <row r="30">
      <c r="A30" s="12">
        <f t="shared" si="4"/>
        <v>28</v>
      </c>
      <c r="B30" s="18" t="s">
        <v>51</v>
      </c>
      <c r="C30" s="14" t="s">
        <v>21</v>
      </c>
      <c r="D30" s="14">
        <v>42.81</v>
      </c>
      <c r="E30" s="15">
        <f t="shared" si="1"/>
        <v>7.5</v>
      </c>
      <c r="F30" s="12">
        <v>10.0</v>
      </c>
      <c r="G30" s="16">
        <v>415.1</v>
      </c>
      <c r="H30" s="16">
        <v>6.6</v>
      </c>
      <c r="I30" s="16">
        <v>4.63</v>
      </c>
      <c r="J30" s="17">
        <v>0.984</v>
      </c>
      <c r="K30" s="16">
        <v>0.81</v>
      </c>
      <c r="L30" s="16">
        <v>4.56</v>
      </c>
      <c r="M30" s="16">
        <f t="shared" si="2"/>
        <v>4.669169662</v>
      </c>
      <c r="N30" s="16">
        <f t="shared" si="3"/>
        <v>0.608</v>
      </c>
      <c r="O30" s="16"/>
      <c r="P30" s="16"/>
      <c r="Q30" s="14"/>
    </row>
    <row r="31" ht="15.75" customHeight="1">
      <c r="A31" s="12">
        <f t="shared" si="4"/>
        <v>29</v>
      </c>
      <c r="B31" s="18" t="s">
        <v>52</v>
      </c>
      <c r="C31" s="14" t="s">
        <v>21</v>
      </c>
      <c r="D31" s="21" t="s">
        <v>25</v>
      </c>
      <c r="E31" s="15">
        <f t="shared" si="1"/>
        <v>7.5</v>
      </c>
      <c r="F31" s="12">
        <v>10.0</v>
      </c>
      <c r="G31" s="16">
        <v>412.4</v>
      </c>
      <c r="H31" s="16">
        <v>5.79</v>
      </c>
      <c r="I31" s="16">
        <v>4.02</v>
      </c>
      <c r="J31" s="17">
        <v>0.985</v>
      </c>
      <c r="K31" s="16">
        <v>0.69</v>
      </c>
      <c r="L31" s="16">
        <v>3.96</v>
      </c>
      <c r="M31" s="16">
        <f t="shared" si="2"/>
        <v>4.073627732</v>
      </c>
      <c r="N31" s="16">
        <f t="shared" si="3"/>
        <v>0.528</v>
      </c>
      <c r="O31" s="16"/>
      <c r="P31" s="16"/>
      <c r="Q31" s="16"/>
    </row>
    <row r="32" ht="15.75" customHeight="1">
      <c r="A32" s="12">
        <f t="shared" si="4"/>
        <v>30</v>
      </c>
      <c r="B32" s="18" t="s">
        <v>53</v>
      </c>
      <c r="C32" s="14" t="s">
        <v>21</v>
      </c>
      <c r="D32" s="21">
        <v>35.7</v>
      </c>
      <c r="E32" s="15">
        <f t="shared" si="1"/>
        <v>7.5</v>
      </c>
      <c r="F32" s="12">
        <v>10.0</v>
      </c>
      <c r="G32" s="16">
        <v>416.2</v>
      </c>
      <c r="H32" s="16">
        <v>3.86</v>
      </c>
      <c r="I32" s="16">
        <v>2.65</v>
      </c>
      <c r="J32" s="17">
        <v>0.977</v>
      </c>
      <c r="K32" s="16">
        <v>0.56</v>
      </c>
      <c r="L32" s="16">
        <v>2.59</v>
      </c>
      <c r="M32" s="16">
        <f t="shared" si="2"/>
        <v>2.718515615</v>
      </c>
      <c r="N32" s="16">
        <f t="shared" si="3"/>
        <v>0.3453333333</v>
      </c>
      <c r="O32" s="16"/>
      <c r="P32" s="16"/>
      <c r="Q32" s="16"/>
    </row>
    <row r="33">
      <c r="A33" s="12">
        <f t="shared" si="4"/>
        <v>31</v>
      </c>
      <c r="B33" s="18" t="s">
        <v>54</v>
      </c>
      <c r="C33" s="14"/>
      <c r="D33" s="14"/>
      <c r="E33" s="15">
        <f t="shared" si="1"/>
        <v>7.5</v>
      </c>
      <c r="F33" s="12">
        <v>10.0</v>
      </c>
      <c r="G33" s="16"/>
      <c r="H33" s="16"/>
      <c r="I33" s="16"/>
      <c r="J33" s="17"/>
      <c r="K33" s="16"/>
      <c r="L33" s="16"/>
      <c r="M33" s="16">
        <f t="shared" si="2"/>
        <v>0</v>
      </c>
      <c r="N33" s="16">
        <f t="shared" si="3"/>
        <v>0</v>
      </c>
      <c r="O33" s="16"/>
      <c r="P33" s="16"/>
      <c r="Q33" s="14"/>
    </row>
    <row r="34" ht="15.75" customHeight="1">
      <c r="A34" s="12">
        <f t="shared" si="4"/>
        <v>32</v>
      </c>
      <c r="B34" s="18" t="s">
        <v>55</v>
      </c>
      <c r="C34" s="14" t="s">
        <v>21</v>
      </c>
      <c r="D34" s="21">
        <v>45.86</v>
      </c>
      <c r="E34" s="15">
        <f t="shared" si="1"/>
        <v>7.5</v>
      </c>
      <c r="F34" s="12">
        <v>10.0</v>
      </c>
      <c r="G34" s="16">
        <v>417.5</v>
      </c>
      <c r="H34" s="16">
        <v>11.83</v>
      </c>
      <c r="I34" s="16">
        <v>8.5</v>
      </c>
      <c r="K34" s="16">
        <v>0.36</v>
      </c>
      <c r="L34" s="16">
        <v>8.5</v>
      </c>
      <c r="M34" s="16">
        <f>1.732*G34*H34*K38/1000</f>
        <v>8.545836909</v>
      </c>
      <c r="N34" s="16">
        <f t="shared" si="3"/>
        <v>1.133333333</v>
      </c>
      <c r="O34" s="16"/>
      <c r="P34" s="16"/>
      <c r="Q34" s="16"/>
    </row>
    <row r="35" ht="15.75" customHeight="1">
      <c r="A35" s="12">
        <f t="shared" si="4"/>
        <v>33</v>
      </c>
      <c r="B35" s="18" t="s">
        <v>56</v>
      </c>
      <c r="C35" s="14" t="s">
        <v>21</v>
      </c>
      <c r="D35" s="21">
        <v>40.74</v>
      </c>
      <c r="E35" s="15">
        <f t="shared" si="1"/>
        <v>7.5</v>
      </c>
      <c r="F35" s="12">
        <v>10.0</v>
      </c>
      <c r="G35" s="16">
        <v>418.2</v>
      </c>
      <c r="H35" s="16">
        <v>6.99</v>
      </c>
      <c r="I35" s="16">
        <v>4.98</v>
      </c>
      <c r="J35" s="17">
        <v>0.999</v>
      </c>
      <c r="K35" s="16">
        <v>0.02</v>
      </c>
      <c r="L35" s="16">
        <v>4.98</v>
      </c>
      <c r="M35" s="16">
        <f t="shared" ref="M35:M52" si="5">1.732*G35*H35*J35/1000</f>
        <v>5.057950562</v>
      </c>
      <c r="N35" s="16">
        <f t="shared" si="3"/>
        <v>0.664</v>
      </c>
      <c r="O35" s="16"/>
      <c r="P35" s="16"/>
      <c r="Q35" s="16"/>
    </row>
    <row r="36" ht="15.75" customHeight="1">
      <c r="A36" s="12">
        <f t="shared" si="4"/>
        <v>34</v>
      </c>
      <c r="B36" s="18" t="s">
        <v>57</v>
      </c>
      <c r="C36" s="14" t="s">
        <v>21</v>
      </c>
      <c r="D36" s="21" t="s">
        <v>58</v>
      </c>
      <c r="E36" s="15">
        <f t="shared" si="1"/>
        <v>7.5</v>
      </c>
      <c r="F36" s="12">
        <v>10.0</v>
      </c>
      <c r="G36" s="16">
        <v>418.3</v>
      </c>
      <c r="H36" s="16">
        <v>8.39</v>
      </c>
      <c r="I36" s="16">
        <v>6.04</v>
      </c>
      <c r="J36" s="17">
        <v>0.993</v>
      </c>
      <c r="K36" s="16">
        <v>0.66</v>
      </c>
      <c r="L36" s="16">
        <v>6.0</v>
      </c>
      <c r="M36" s="16">
        <f t="shared" si="5"/>
        <v>6.035968457</v>
      </c>
      <c r="N36" s="16">
        <f t="shared" si="3"/>
        <v>0.8</v>
      </c>
      <c r="O36" s="16"/>
      <c r="P36" s="16"/>
      <c r="Q36" s="16"/>
    </row>
    <row r="37" ht="15.75" customHeight="1">
      <c r="A37" s="12">
        <f t="shared" si="4"/>
        <v>35</v>
      </c>
      <c r="B37" s="18" t="s">
        <v>59</v>
      </c>
      <c r="C37" s="14" t="s">
        <v>21</v>
      </c>
      <c r="D37" s="21" t="s">
        <v>25</v>
      </c>
      <c r="E37" s="15">
        <f t="shared" si="1"/>
        <v>7.5</v>
      </c>
      <c r="F37" s="12">
        <v>10.0</v>
      </c>
      <c r="G37" s="16">
        <v>420.9</v>
      </c>
      <c r="H37" s="16">
        <v>4.23</v>
      </c>
      <c r="I37" s="16">
        <v>3.03</v>
      </c>
      <c r="J37" s="17">
        <v>0.999</v>
      </c>
      <c r="K37" s="16">
        <v>0.0</v>
      </c>
      <c r="L37" s="16">
        <v>3.03</v>
      </c>
      <c r="M37" s="16">
        <f t="shared" si="5"/>
        <v>3.080581259</v>
      </c>
      <c r="N37" s="16">
        <f t="shared" si="3"/>
        <v>0.404</v>
      </c>
      <c r="O37" s="16"/>
      <c r="P37" s="16"/>
      <c r="Q37" s="16"/>
    </row>
    <row r="38" ht="15.75" customHeight="1">
      <c r="A38" s="12">
        <f t="shared" si="4"/>
        <v>36</v>
      </c>
      <c r="B38" s="18" t="s">
        <v>60</v>
      </c>
      <c r="C38" s="14" t="s">
        <v>21</v>
      </c>
      <c r="D38" s="21" t="s">
        <v>61</v>
      </c>
      <c r="E38" s="15">
        <f t="shared" si="1"/>
        <v>9.375</v>
      </c>
      <c r="F38" s="12">
        <v>12.5</v>
      </c>
      <c r="G38" s="16">
        <v>421.4</v>
      </c>
      <c r="H38" s="16">
        <v>7.33</v>
      </c>
      <c r="I38" s="16">
        <v>5.27</v>
      </c>
      <c r="J38" s="17">
        <v>0.999</v>
      </c>
      <c r="K38" s="17">
        <v>0.999</v>
      </c>
      <c r="L38" s="16">
        <v>5.27</v>
      </c>
      <c r="M38" s="16">
        <f t="shared" si="5"/>
        <v>5.344559075</v>
      </c>
      <c r="N38" s="16">
        <f t="shared" si="3"/>
        <v>0.5621333333</v>
      </c>
      <c r="O38" s="16"/>
      <c r="P38" s="16"/>
      <c r="Q38" s="16"/>
    </row>
    <row r="39" ht="15.75" customHeight="1">
      <c r="A39" s="12">
        <f t="shared" si="4"/>
        <v>37</v>
      </c>
      <c r="B39" s="18" t="s">
        <v>62</v>
      </c>
      <c r="C39" s="14" t="s">
        <v>21</v>
      </c>
      <c r="D39" s="21">
        <v>42.8</v>
      </c>
      <c r="E39" s="15">
        <f t="shared" si="1"/>
        <v>9.375</v>
      </c>
      <c r="F39" s="12">
        <v>12.5</v>
      </c>
      <c r="G39" s="16">
        <v>421.9</v>
      </c>
      <c r="H39" s="16">
        <v>8.9</v>
      </c>
      <c r="I39" s="16">
        <v>6.44</v>
      </c>
      <c r="J39" s="17">
        <v>0.999</v>
      </c>
      <c r="K39" s="16">
        <v>0.25</v>
      </c>
      <c r="L39" s="16">
        <v>6.43</v>
      </c>
      <c r="M39" s="16">
        <f t="shared" si="5"/>
        <v>6.497000616</v>
      </c>
      <c r="N39" s="16">
        <f t="shared" si="3"/>
        <v>0.6858666667</v>
      </c>
      <c r="O39" s="16"/>
      <c r="P39" s="16"/>
      <c r="Q39" s="16"/>
    </row>
    <row r="40" ht="15.75" customHeight="1">
      <c r="A40" s="12">
        <f t="shared" si="4"/>
        <v>38</v>
      </c>
      <c r="B40" s="18" t="s">
        <v>63</v>
      </c>
      <c r="C40" s="14" t="s">
        <v>21</v>
      </c>
      <c r="D40" s="21">
        <v>45.0</v>
      </c>
      <c r="E40" s="15">
        <f t="shared" si="1"/>
        <v>7.5</v>
      </c>
      <c r="F40" s="12">
        <v>10.0</v>
      </c>
      <c r="G40" s="16">
        <v>424.0</v>
      </c>
      <c r="H40" s="16">
        <v>12.03</v>
      </c>
      <c r="I40" s="16">
        <v>8.66</v>
      </c>
      <c r="J40" s="17">
        <v>0.999</v>
      </c>
      <c r="K40" s="16">
        <v>0.38</v>
      </c>
      <c r="L40" s="16">
        <v>8.66</v>
      </c>
      <c r="M40" s="16">
        <f t="shared" si="5"/>
        <v>8.825612593</v>
      </c>
      <c r="N40" s="16">
        <f t="shared" si="3"/>
        <v>1.154666667</v>
      </c>
      <c r="O40" s="16"/>
      <c r="P40" s="16"/>
      <c r="Q40" s="16"/>
    </row>
    <row r="41" ht="15.75" customHeight="1">
      <c r="A41" s="12">
        <f t="shared" si="4"/>
        <v>39</v>
      </c>
      <c r="B41" s="18" t="s">
        <v>64</v>
      </c>
      <c r="C41" s="14" t="s">
        <v>21</v>
      </c>
      <c r="D41" s="21">
        <v>45.0</v>
      </c>
      <c r="E41" s="15">
        <f t="shared" si="1"/>
        <v>7.5</v>
      </c>
      <c r="F41" s="12">
        <v>10.0</v>
      </c>
      <c r="G41" s="16">
        <v>425.7</v>
      </c>
      <c r="H41" s="16">
        <v>11.97</v>
      </c>
      <c r="I41" s="16">
        <v>8.52</v>
      </c>
      <c r="J41" s="17">
        <v>0.999</v>
      </c>
      <c r="K41" s="16">
        <v>0.06</v>
      </c>
      <c r="L41" s="16">
        <v>8.51</v>
      </c>
      <c r="M41" s="16">
        <f t="shared" si="5"/>
        <v>8.816803799</v>
      </c>
      <c r="N41" s="16">
        <f t="shared" si="3"/>
        <v>1.134666667</v>
      </c>
      <c r="O41" s="16"/>
      <c r="P41" s="16"/>
      <c r="Q41" s="16"/>
    </row>
    <row r="42">
      <c r="A42" s="12">
        <f t="shared" si="4"/>
        <v>40</v>
      </c>
      <c r="B42" s="18" t="s">
        <v>65</v>
      </c>
      <c r="C42" s="14" t="s">
        <v>21</v>
      </c>
      <c r="D42" s="21">
        <v>47.0</v>
      </c>
      <c r="E42" s="15">
        <f t="shared" si="1"/>
        <v>7.5</v>
      </c>
      <c r="F42" s="12">
        <v>10.0</v>
      </c>
      <c r="G42" s="16">
        <v>420.9</v>
      </c>
      <c r="H42" s="16">
        <v>4.43</v>
      </c>
      <c r="I42" s="16">
        <v>3.23</v>
      </c>
      <c r="J42" s="17">
        <v>0.998</v>
      </c>
      <c r="K42" s="16">
        <v>0.19</v>
      </c>
      <c r="L42" s="16">
        <v>3.22</v>
      </c>
      <c r="M42" s="16">
        <f t="shared" si="5"/>
        <v>3.223005755</v>
      </c>
      <c r="N42" s="16">
        <f t="shared" si="3"/>
        <v>0.4293333333</v>
      </c>
      <c r="O42" s="16"/>
      <c r="P42" s="16"/>
      <c r="Q42" s="16"/>
    </row>
    <row r="43" ht="15.75" customHeight="1">
      <c r="A43" s="12">
        <f t="shared" si="4"/>
        <v>41</v>
      </c>
      <c r="B43" s="18" t="s">
        <v>66</v>
      </c>
      <c r="C43" s="14" t="s">
        <v>21</v>
      </c>
      <c r="D43" s="21">
        <v>34.68</v>
      </c>
      <c r="E43" s="15">
        <f t="shared" si="1"/>
        <v>7.5</v>
      </c>
      <c r="F43" s="12">
        <v>10.0</v>
      </c>
      <c r="G43" s="16">
        <v>413.6</v>
      </c>
      <c r="H43" s="16">
        <v>5.23</v>
      </c>
      <c r="I43" s="16">
        <v>3.63</v>
      </c>
      <c r="J43" s="17">
        <v>0.998</v>
      </c>
      <c r="K43" s="16">
        <v>0.22</v>
      </c>
      <c r="L43" s="16">
        <v>3.62</v>
      </c>
      <c r="M43" s="16">
        <f t="shared" si="5"/>
        <v>3.739044621</v>
      </c>
      <c r="N43" s="16">
        <f t="shared" si="3"/>
        <v>0.4826666667</v>
      </c>
      <c r="O43" s="16"/>
      <c r="P43" s="16"/>
      <c r="Q43" s="16"/>
    </row>
    <row r="44" ht="15.75" customHeight="1">
      <c r="A44" s="12">
        <f t="shared" si="4"/>
        <v>42</v>
      </c>
      <c r="B44" s="18" t="s">
        <v>67</v>
      </c>
      <c r="C44" s="14" t="s">
        <v>21</v>
      </c>
      <c r="D44" s="21">
        <v>34.69</v>
      </c>
      <c r="E44" s="15">
        <f t="shared" si="1"/>
        <v>7.5</v>
      </c>
      <c r="F44" s="12">
        <v>10.0</v>
      </c>
      <c r="G44" s="16">
        <v>410.5</v>
      </c>
      <c r="H44" s="16">
        <v>6.5</v>
      </c>
      <c r="I44" s="16">
        <v>4.51</v>
      </c>
      <c r="J44" s="17">
        <v>0.996</v>
      </c>
      <c r="K44" s="16">
        <v>0.37</v>
      </c>
      <c r="L44" s="16">
        <v>4.49</v>
      </c>
      <c r="M44" s="16">
        <f t="shared" si="5"/>
        <v>4.602923364</v>
      </c>
      <c r="N44" s="16">
        <f t="shared" si="3"/>
        <v>0.5986666667</v>
      </c>
      <c r="O44" s="16"/>
      <c r="P44" s="16"/>
      <c r="Q44" s="16"/>
    </row>
    <row r="45">
      <c r="A45" s="12">
        <f t="shared" si="4"/>
        <v>43</v>
      </c>
      <c r="B45" s="18" t="s">
        <v>68</v>
      </c>
      <c r="C45" s="14"/>
      <c r="D45" s="12">
        <v>33.0</v>
      </c>
      <c r="E45" s="15">
        <f t="shared" si="1"/>
        <v>7.5</v>
      </c>
      <c r="F45" s="12">
        <v>10.0</v>
      </c>
      <c r="G45" s="19">
        <v>409.0</v>
      </c>
      <c r="H45" s="19">
        <v>6.53</v>
      </c>
      <c r="I45" s="19">
        <v>4.54</v>
      </c>
      <c r="J45" s="20">
        <v>0.98</v>
      </c>
      <c r="K45" s="19">
        <v>0.9</v>
      </c>
      <c r="L45" s="19">
        <v>4.45</v>
      </c>
      <c r="M45" s="16">
        <f t="shared" si="5"/>
        <v>4.533258167</v>
      </c>
      <c r="N45" s="16">
        <f t="shared" si="3"/>
        <v>0.5933333333</v>
      </c>
      <c r="O45" s="16"/>
      <c r="P45" s="16"/>
      <c r="Q45" s="12" t="s">
        <v>69</v>
      </c>
    </row>
    <row r="46" ht="15.75" customHeight="1">
      <c r="A46" s="12">
        <f t="shared" si="4"/>
        <v>44</v>
      </c>
      <c r="B46" s="18" t="s">
        <v>70</v>
      </c>
      <c r="C46" s="14" t="s">
        <v>21</v>
      </c>
      <c r="D46" s="21">
        <v>40.43</v>
      </c>
      <c r="E46" s="15">
        <f t="shared" si="1"/>
        <v>7.5</v>
      </c>
      <c r="F46" s="12">
        <v>10.0</v>
      </c>
      <c r="G46" s="16">
        <v>411.1</v>
      </c>
      <c r="H46" s="16">
        <v>9.52</v>
      </c>
      <c r="I46" s="16">
        <v>6.64</v>
      </c>
      <c r="J46" s="17">
        <v>0.991</v>
      </c>
      <c r="K46" s="16">
        <v>0.8</v>
      </c>
      <c r="L46" s="16">
        <v>6.58</v>
      </c>
      <c r="M46" s="16">
        <f t="shared" si="5"/>
        <v>6.717473585</v>
      </c>
      <c r="N46" s="16">
        <f t="shared" si="3"/>
        <v>0.8773333333</v>
      </c>
      <c r="O46" s="16"/>
      <c r="P46" s="16"/>
      <c r="Q46" s="16"/>
    </row>
    <row r="47" ht="15.75" customHeight="1">
      <c r="A47" s="12">
        <f t="shared" si="4"/>
        <v>45</v>
      </c>
      <c r="B47" s="18" t="s">
        <v>71</v>
      </c>
      <c r="C47" s="14" t="s">
        <v>21</v>
      </c>
      <c r="D47" s="21">
        <v>40.0</v>
      </c>
      <c r="E47" s="15">
        <f t="shared" si="1"/>
        <v>7.5</v>
      </c>
      <c r="F47" s="12">
        <v>10.0</v>
      </c>
      <c r="G47" s="16">
        <v>421.5</v>
      </c>
      <c r="H47" s="16">
        <v>7.27</v>
      </c>
      <c r="I47" s="16">
        <v>5.12</v>
      </c>
      <c r="J47" s="17">
        <v>0.999</v>
      </c>
      <c r="K47" s="16">
        <v>0.08</v>
      </c>
      <c r="L47" s="16">
        <v>5.12</v>
      </c>
      <c r="M47" s="16">
        <f t="shared" si="5"/>
        <v>5.302068884</v>
      </c>
      <c r="N47" s="16">
        <f t="shared" si="3"/>
        <v>0.6826666667</v>
      </c>
      <c r="O47" s="16"/>
      <c r="P47" s="16"/>
      <c r="Q47" s="16"/>
    </row>
    <row r="48" ht="15.75" customHeight="1">
      <c r="A48" s="12">
        <f t="shared" si="4"/>
        <v>46</v>
      </c>
      <c r="B48" s="18" t="s">
        <v>72</v>
      </c>
      <c r="C48" s="14" t="s">
        <v>21</v>
      </c>
      <c r="D48" s="21">
        <v>33.0</v>
      </c>
      <c r="E48" s="15">
        <f t="shared" si="1"/>
        <v>7.5</v>
      </c>
      <c r="F48" s="12">
        <v>10.0</v>
      </c>
      <c r="G48" s="16">
        <v>423.6</v>
      </c>
      <c r="H48" s="16">
        <v>4.48</v>
      </c>
      <c r="I48" s="16">
        <v>3.13</v>
      </c>
      <c r="J48" s="17">
        <v>0.999</v>
      </c>
      <c r="K48" s="16">
        <v>0.08</v>
      </c>
      <c r="L48" s="16">
        <v>3.13</v>
      </c>
      <c r="M48" s="16">
        <f t="shared" si="5"/>
        <v>3.283578031</v>
      </c>
      <c r="N48" s="16">
        <f t="shared" si="3"/>
        <v>0.4173333333</v>
      </c>
      <c r="O48" s="16"/>
      <c r="P48" s="16"/>
      <c r="Q48" s="16"/>
    </row>
    <row r="49">
      <c r="A49" s="12">
        <f t="shared" si="4"/>
        <v>47</v>
      </c>
      <c r="B49" s="18" t="s">
        <v>73</v>
      </c>
      <c r="C49" s="12" t="s">
        <v>21</v>
      </c>
      <c r="D49" s="12">
        <v>33.0</v>
      </c>
      <c r="E49" s="15">
        <f t="shared" si="1"/>
        <v>7.5</v>
      </c>
      <c r="F49" s="12">
        <v>10.0</v>
      </c>
      <c r="G49" s="19"/>
      <c r="H49" s="19"/>
      <c r="I49" s="19"/>
      <c r="J49" s="20"/>
      <c r="K49" s="19"/>
      <c r="L49" s="19"/>
      <c r="M49" s="16">
        <f t="shared" si="5"/>
        <v>0</v>
      </c>
      <c r="N49" s="16">
        <f t="shared" si="3"/>
        <v>0</v>
      </c>
      <c r="O49" s="16"/>
      <c r="P49" s="16"/>
      <c r="Q49" s="12"/>
    </row>
    <row r="50">
      <c r="A50" s="12">
        <f t="shared" si="4"/>
        <v>48</v>
      </c>
      <c r="B50" s="18" t="s">
        <v>74</v>
      </c>
      <c r="C50" s="14"/>
      <c r="D50" s="14"/>
      <c r="E50" s="15">
        <f t="shared" si="1"/>
        <v>7.5</v>
      </c>
      <c r="F50" s="12">
        <v>10.0</v>
      </c>
      <c r="G50" s="16"/>
      <c r="H50" s="16"/>
      <c r="I50" s="16"/>
      <c r="J50" s="17"/>
      <c r="K50" s="16"/>
      <c r="L50" s="16"/>
      <c r="M50" s="16">
        <f t="shared" si="5"/>
        <v>0</v>
      </c>
      <c r="N50" s="16">
        <f t="shared" si="3"/>
        <v>0</v>
      </c>
      <c r="O50" s="16"/>
      <c r="P50" s="16"/>
      <c r="Q50" s="14"/>
    </row>
    <row r="51" ht="15.75" customHeight="1">
      <c r="A51" s="12">
        <f t="shared" si="4"/>
        <v>49</v>
      </c>
      <c r="B51" s="13" t="s">
        <v>75</v>
      </c>
      <c r="C51" s="14"/>
      <c r="D51" s="14"/>
      <c r="E51" s="15">
        <f t="shared" si="1"/>
        <v>15</v>
      </c>
      <c r="F51" s="12">
        <v>20.0</v>
      </c>
      <c r="G51" s="16"/>
      <c r="H51" s="16"/>
      <c r="I51" s="16"/>
      <c r="J51" s="17"/>
      <c r="K51" s="16"/>
      <c r="L51" s="16"/>
      <c r="M51" s="16">
        <f t="shared" si="5"/>
        <v>0</v>
      </c>
      <c r="N51" s="16">
        <f t="shared" si="3"/>
        <v>0</v>
      </c>
      <c r="O51" s="16"/>
      <c r="P51" s="16"/>
      <c r="Q51" s="16"/>
    </row>
    <row r="52" ht="15.75" customHeight="1">
      <c r="A52" s="12">
        <f t="shared" si="4"/>
        <v>50</v>
      </c>
      <c r="B52" s="18" t="s">
        <v>76</v>
      </c>
      <c r="C52" s="14" t="s">
        <v>21</v>
      </c>
      <c r="D52" s="21">
        <v>24.76</v>
      </c>
      <c r="E52" s="15">
        <f t="shared" si="1"/>
        <v>15</v>
      </c>
      <c r="F52" s="12">
        <v>20.0</v>
      </c>
      <c r="G52" s="16">
        <v>421.1</v>
      </c>
      <c r="H52" s="16">
        <v>7.39</v>
      </c>
      <c r="I52" s="16">
        <v>5.26</v>
      </c>
      <c r="J52" s="17">
        <v>0.999</v>
      </c>
      <c r="K52" s="16">
        <v>0.2</v>
      </c>
      <c r="L52" s="16">
        <v>5.25</v>
      </c>
      <c r="M52" s="16">
        <f t="shared" si="5"/>
        <v>5.384471167</v>
      </c>
      <c r="N52" s="16">
        <f t="shared" si="3"/>
        <v>0.35</v>
      </c>
      <c r="O52" s="16"/>
      <c r="P52" s="16"/>
      <c r="Q52" s="16"/>
    </row>
    <row r="53">
      <c r="A53" s="23" t="s">
        <v>17</v>
      </c>
      <c r="B53" s="24" t="s">
        <v>77</v>
      </c>
      <c r="C53" s="25"/>
      <c r="D53" s="25"/>
      <c r="E53" s="26"/>
      <c r="F53" s="23"/>
      <c r="G53" s="27"/>
      <c r="H53" s="27"/>
      <c r="I53" s="27"/>
      <c r="J53" s="28"/>
      <c r="K53" s="27"/>
      <c r="L53" s="27"/>
      <c r="M53" s="27"/>
      <c r="N53" s="27"/>
      <c r="O53" s="27"/>
      <c r="P53" s="27"/>
      <c r="Q53" s="25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>
      <c r="A54" s="12">
        <f>A52+1</f>
        <v>51</v>
      </c>
      <c r="B54" s="13" t="s">
        <v>78</v>
      </c>
      <c r="C54" s="12" t="s">
        <v>21</v>
      </c>
      <c r="D54" s="12">
        <v>40.0</v>
      </c>
      <c r="E54" s="15">
        <f t="shared" ref="E54:E85" si="6">F54*0.75</f>
        <v>3.75</v>
      </c>
      <c r="F54" s="12">
        <v>5.0</v>
      </c>
      <c r="G54" s="19">
        <v>421.3</v>
      </c>
      <c r="H54" s="19">
        <v>1.58</v>
      </c>
      <c r="I54" s="19">
        <v>1.07</v>
      </c>
      <c r="J54" s="20">
        <v>0.988</v>
      </c>
      <c r="K54" s="19">
        <v>0.16</v>
      </c>
      <c r="L54" s="19">
        <v>1.06</v>
      </c>
      <c r="M54" s="16">
        <f t="shared" ref="M54:M85" si="7">1.732*G54*H54*J54/1000</f>
        <v>1.139077775</v>
      </c>
      <c r="N54" s="16">
        <f t="shared" ref="N54:N85" si="8">L54/E54</f>
        <v>0.2826666667</v>
      </c>
      <c r="O54" s="16"/>
      <c r="P54" s="16"/>
      <c r="Q54" s="14"/>
    </row>
    <row r="55" ht="15.75" customHeight="1">
      <c r="A55" s="12">
        <f t="shared" ref="A55:A57" si="9">A54+1</f>
        <v>52</v>
      </c>
      <c r="B55" s="13" t="s">
        <v>79</v>
      </c>
      <c r="C55" s="12" t="s">
        <v>21</v>
      </c>
      <c r="D55" s="29">
        <v>20.0</v>
      </c>
      <c r="E55" s="15">
        <f t="shared" si="6"/>
        <v>3.75</v>
      </c>
      <c r="F55" s="12">
        <v>5.0</v>
      </c>
      <c r="G55" s="19">
        <v>421.4</v>
      </c>
      <c r="H55" s="19">
        <v>2.37</v>
      </c>
      <c r="I55" s="19">
        <v>1.63</v>
      </c>
      <c r="J55" s="20">
        <v>0.994</v>
      </c>
      <c r="K55" s="19">
        <v>0.17</v>
      </c>
      <c r="L55" s="19">
        <v>1.62</v>
      </c>
      <c r="M55" s="16">
        <f t="shared" si="7"/>
        <v>1.719400899</v>
      </c>
      <c r="N55" s="16">
        <f t="shared" si="8"/>
        <v>0.432</v>
      </c>
      <c r="O55" s="16"/>
      <c r="P55" s="16"/>
      <c r="Q55" s="16"/>
    </row>
    <row r="56" ht="15.75" customHeight="1">
      <c r="A56" s="12">
        <f t="shared" si="9"/>
        <v>53</v>
      </c>
      <c r="B56" s="13" t="s">
        <v>80</v>
      </c>
      <c r="C56" s="12" t="s">
        <v>21</v>
      </c>
      <c r="D56" s="29">
        <v>30.43</v>
      </c>
      <c r="E56" s="15">
        <f t="shared" si="6"/>
        <v>3.75</v>
      </c>
      <c r="F56" s="12">
        <v>5.0</v>
      </c>
      <c r="G56" s="19">
        <v>420.6</v>
      </c>
      <c r="H56" s="19">
        <v>1.94</v>
      </c>
      <c r="I56" s="19">
        <v>1.91</v>
      </c>
      <c r="J56" s="20">
        <v>0.985</v>
      </c>
      <c r="K56" s="19">
        <v>0.2</v>
      </c>
      <c r="L56" s="19">
        <v>1.81</v>
      </c>
      <c r="M56" s="16">
        <f t="shared" si="7"/>
        <v>1.392050903</v>
      </c>
      <c r="N56" s="16">
        <f t="shared" si="8"/>
        <v>0.4826666667</v>
      </c>
      <c r="O56" s="16"/>
      <c r="P56" s="16"/>
      <c r="Q56" s="16"/>
    </row>
    <row r="57" ht="15.75" customHeight="1">
      <c r="A57" s="12">
        <f t="shared" si="9"/>
        <v>54</v>
      </c>
      <c r="B57" s="13" t="s">
        <v>81</v>
      </c>
      <c r="C57" s="12" t="s">
        <v>21</v>
      </c>
      <c r="D57" s="29" t="s">
        <v>82</v>
      </c>
      <c r="E57" s="15">
        <f t="shared" si="6"/>
        <v>3.75</v>
      </c>
      <c r="F57" s="12">
        <v>5.0</v>
      </c>
      <c r="G57" s="19">
        <v>420.6</v>
      </c>
      <c r="H57" s="16"/>
      <c r="I57" s="16"/>
      <c r="J57" s="17"/>
      <c r="K57" s="16"/>
      <c r="L57" s="16"/>
      <c r="M57" s="16">
        <f t="shared" si="7"/>
        <v>0</v>
      </c>
      <c r="N57" s="16">
        <f t="shared" si="8"/>
        <v>0</v>
      </c>
      <c r="O57" s="16"/>
      <c r="P57" s="16"/>
      <c r="Q57" s="16"/>
    </row>
    <row r="58" ht="15.75" customHeight="1">
      <c r="A58" s="14">
        <f t="shared" ref="A58:A85" si="10">A57+1</f>
        <v>55</v>
      </c>
      <c r="B58" s="13" t="s">
        <v>83</v>
      </c>
      <c r="C58" s="12" t="s">
        <v>21</v>
      </c>
      <c r="D58" s="21"/>
      <c r="E58" s="15">
        <f t="shared" si="6"/>
        <v>3.75</v>
      </c>
      <c r="F58" s="12">
        <v>5.0</v>
      </c>
      <c r="G58" s="19">
        <v>421.0</v>
      </c>
      <c r="H58" s="19">
        <v>1.82</v>
      </c>
      <c r="I58" s="19">
        <v>1.31</v>
      </c>
      <c r="J58" s="20">
        <v>0.988</v>
      </c>
      <c r="K58" s="19">
        <v>0.19</v>
      </c>
      <c r="L58" s="19">
        <v>1.28</v>
      </c>
      <c r="M58" s="16">
        <f t="shared" si="7"/>
        <v>1.311167924</v>
      </c>
      <c r="N58" s="16">
        <f t="shared" si="8"/>
        <v>0.3413333333</v>
      </c>
      <c r="O58" s="16"/>
      <c r="P58" s="16"/>
      <c r="Q58" s="16"/>
    </row>
    <row r="59" ht="15.75" customHeight="1">
      <c r="A59" s="14">
        <f t="shared" si="10"/>
        <v>56</v>
      </c>
      <c r="B59" s="13" t="s">
        <v>84</v>
      </c>
      <c r="C59" s="12" t="s">
        <v>21</v>
      </c>
      <c r="D59" s="21"/>
      <c r="E59" s="15">
        <f t="shared" si="6"/>
        <v>3.75</v>
      </c>
      <c r="F59" s="12">
        <v>5.0</v>
      </c>
      <c r="G59" s="19">
        <v>398.0</v>
      </c>
      <c r="H59" s="19">
        <v>1.59</v>
      </c>
      <c r="I59" s="19">
        <v>1.04</v>
      </c>
      <c r="J59" s="20">
        <v>0.986</v>
      </c>
      <c r="K59" s="19">
        <v>0.17</v>
      </c>
      <c r="L59" s="19">
        <v>1.02</v>
      </c>
      <c r="M59" s="16">
        <f t="shared" si="7"/>
        <v>1.080699621</v>
      </c>
      <c r="N59" s="16">
        <f t="shared" si="8"/>
        <v>0.272</v>
      </c>
      <c r="O59" s="16"/>
      <c r="P59" s="16"/>
      <c r="Q59" s="16"/>
    </row>
    <row r="60" ht="15.75" customHeight="1">
      <c r="A60" s="14">
        <f t="shared" si="10"/>
        <v>57</v>
      </c>
      <c r="B60" s="13" t="s">
        <v>85</v>
      </c>
      <c r="C60" s="12" t="s">
        <v>21</v>
      </c>
      <c r="D60" s="21"/>
      <c r="E60" s="15">
        <f t="shared" si="6"/>
        <v>3.75</v>
      </c>
      <c r="F60" s="12">
        <v>5.0</v>
      </c>
      <c r="G60" s="19">
        <v>410.0</v>
      </c>
      <c r="H60" s="19">
        <v>1.87</v>
      </c>
      <c r="I60" s="19">
        <v>1.12</v>
      </c>
      <c r="J60" s="20">
        <v>0.993</v>
      </c>
      <c r="K60" s="19">
        <v>0.12</v>
      </c>
      <c r="L60" s="19">
        <v>1.13</v>
      </c>
      <c r="M60" s="16">
        <f t="shared" si="7"/>
        <v>1.318628929</v>
      </c>
      <c r="N60" s="16">
        <f t="shared" si="8"/>
        <v>0.3013333333</v>
      </c>
      <c r="O60" s="16"/>
      <c r="P60" s="16"/>
      <c r="Q60" s="16"/>
    </row>
    <row r="61" ht="15.75" customHeight="1">
      <c r="A61" s="14">
        <f t="shared" si="10"/>
        <v>58</v>
      </c>
      <c r="B61" s="13" t="s">
        <v>86</v>
      </c>
      <c r="C61" s="12" t="s">
        <v>21</v>
      </c>
      <c r="D61" s="21"/>
      <c r="E61" s="15">
        <f t="shared" si="6"/>
        <v>3.75</v>
      </c>
      <c r="F61" s="12">
        <v>5.0</v>
      </c>
      <c r="G61" s="19">
        <v>410.9</v>
      </c>
      <c r="H61" s="19">
        <v>1.31</v>
      </c>
      <c r="I61" s="19">
        <v>0.87</v>
      </c>
      <c r="J61" s="20">
        <v>0.999</v>
      </c>
      <c r="K61" s="19">
        <v>0.02</v>
      </c>
      <c r="L61" s="19">
        <v>0.87</v>
      </c>
      <c r="M61" s="16">
        <f t="shared" si="7"/>
        <v>0.9313669288</v>
      </c>
      <c r="N61" s="16">
        <f t="shared" si="8"/>
        <v>0.232</v>
      </c>
      <c r="O61" s="16"/>
      <c r="P61" s="16"/>
      <c r="Q61" s="16"/>
    </row>
    <row r="62" ht="15.75" customHeight="1">
      <c r="A62" s="14">
        <f t="shared" si="10"/>
        <v>59</v>
      </c>
      <c r="B62" s="13" t="s">
        <v>87</v>
      </c>
      <c r="C62" s="14"/>
      <c r="D62" s="21"/>
      <c r="E62" s="15">
        <f t="shared" si="6"/>
        <v>5.625</v>
      </c>
      <c r="F62" s="12">
        <v>7.5</v>
      </c>
      <c r="G62" s="16"/>
      <c r="H62" s="16"/>
      <c r="I62" s="16"/>
      <c r="J62" s="17"/>
      <c r="K62" s="16"/>
      <c r="L62" s="16"/>
      <c r="M62" s="16">
        <f t="shared" si="7"/>
        <v>0</v>
      </c>
      <c r="N62" s="16">
        <f t="shared" si="8"/>
        <v>0</v>
      </c>
      <c r="O62" s="16"/>
      <c r="P62" s="16"/>
      <c r="Q62" s="16"/>
    </row>
    <row r="63" ht="15.75" customHeight="1">
      <c r="A63" s="14">
        <f t="shared" si="10"/>
        <v>60</v>
      </c>
      <c r="B63" s="13" t="s">
        <v>88</v>
      </c>
      <c r="C63" s="12" t="s">
        <v>21</v>
      </c>
      <c r="D63" s="21"/>
      <c r="E63" s="15">
        <f t="shared" si="6"/>
        <v>5.625</v>
      </c>
      <c r="F63" s="12">
        <v>7.5</v>
      </c>
      <c r="G63" s="19">
        <v>421.4</v>
      </c>
      <c r="H63" s="19">
        <v>2.34</v>
      </c>
      <c r="I63" s="19">
        <v>1.43</v>
      </c>
      <c r="J63" s="20">
        <v>0.988</v>
      </c>
      <c r="K63" s="19">
        <v>0.2</v>
      </c>
      <c r="L63" s="19" t="s">
        <v>89</v>
      </c>
      <c r="M63" s="16">
        <f t="shared" si="7"/>
        <v>1.687389028</v>
      </c>
      <c r="N63" s="16" t="str">
        <f t="shared" si="8"/>
        <v>#VALUE!</v>
      </c>
      <c r="O63" s="16"/>
      <c r="P63" s="16"/>
      <c r="Q63" s="16"/>
    </row>
    <row r="64" ht="15.75" customHeight="1">
      <c r="A64" s="14">
        <f t="shared" si="10"/>
        <v>61</v>
      </c>
      <c r="B64" s="13" t="s">
        <v>90</v>
      </c>
      <c r="C64" s="12" t="s">
        <v>21</v>
      </c>
      <c r="D64" s="21"/>
      <c r="E64" s="15">
        <f t="shared" si="6"/>
        <v>3.75</v>
      </c>
      <c r="F64" s="12">
        <v>5.0</v>
      </c>
      <c r="G64" s="16"/>
      <c r="H64" s="16"/>
      <c r="I64" s="16"/>
      <c r="J64" s="17"/>
      <c r="K64" s="16"/>
      <c r="L64" s="16"/>
      <c r="M64" s="16">
        <f t="shared" si="7"/>
        <v>0</v>
      </c>
      <c r="N64" s="16">
        <f t="shared" si="8"/>
        <v>0</v>
      </c>
      <c r="O64" s="16"/>
      <c r="P64" s="16"/>
      <c r="Q64" s="16"/>
    </row>
    <row r="65" ht="15.75" customHeight="1">
      <c r="A65" s="14">
        <f t="shared" si="10"/>
        <v>62</v>
      </c>
      <c r="B65" s="13" t="s">
        <v>91</v>
      </c>
      <c r="C65" s="12" t="s">
        <v>21</v>
      </c>
      <c r="D65" s="21"/>
      <c r="E65" s="15">
        <f t="shared" si="6"/>
        <v>3.75</v>
      </c>
      <c r="F65" s="12">
        <v>5.0</v>
      </c>
      <c r="G65" s="19">
        <v>395.0</v>
      </c>
      <c r="H65" s="19">
        <v>1.31</v>
      </c>
      <c r="I65" s="19">
        <v>0.86</v>
      </c>
      <c r="J65" s="20">
        <v>0.995</v>
      </c>
      <c r="K65" s="19">
        <v>0.08</v>
      </c>
      <c r="L65" s="19">
        <v>0.86</v>
      </c>
      <c r="M65" s="16">
        <f t="shared" si="7"/>
        <v>0.891742283</v>
      </c>
      <c r="N65" s="16">
        <f t="shared" si="8"/>
        <v>0.2293333333</v>
      </c>
      <c r="O65" s="16"/>
      <c r="P65" s="16"/>
      <c r="Q65" s="16"/>
    </row>
    <row r="66" ht="15.75" customHeight="1">
      <c r="A66" s="14">
        <f t="shared" si="10"/>
        <v>63</v>
      </c>
      <c r="B66" s="13" t="s">
        <v>92</v>
      </c>
      <c r="C66" s="14"/>
      <c r="D66" s="21"/>
      <c r="E66" s="15">
        <f t="shared" si="6"/>
        <v>7.5</v>
      </c>
      <c r="F66" s="12">
        <v>10.0</v>
      </c>
      <c r="G66" s="16"/>
      <c r="H66" s="16"/>
      <c r="I66" s="16"/>
      <c r="J66" s="17"/>
      <c r="K66" s="16"/>
      <c r="L66" s="16"/>
      <c r="M66" s="16">
        <f t="shared" si="7"/>
        <v>0</v>
      </c>
      <c r="N66" s="16">
        <f t="shared" si="8"/>
        <v>0</v>
      </c>
      <c r="O66" s="16"/>
      <c r="P66" s="16"/>
      <c r="Q66" s="16"/>
    </row>
    <row r="67" ht="15.75" customHeight="1">
      <c r="A67" s="14">
        <f t="shared" si="10"/>
        <v>64</v>
      </c>
      <c r="B67" s="13" t="s">
        <v>93</v>
      </c>
      <c r="C67" s="12" t="s">
        <v>21</v>
      </c>
      <c r="D67" s="29">
        <v>31.79</v>
      </c>
      <c r="E67" s="15">
        <f t="shared" si="6"/>
        <v>3.75</v>
      </c>
      <c r="F67" s="12">
        <v>5.0</v>
      </c>
      <c r="G67" s="19">
        <v>419.4</v>
      </c>
      <c r="H67" s="19">
        <v>1.97</v>
      </c>
      <c r="I67" s="19">
        <v>1.33</v>
      </c>
      <c r="J67" s="20">
        <v>0.967</v>
      </c>
      <c r="K67" s="19">
        <v>0.33</v>
      </c>
      <c r="L67" s="19">
        <v>1.29</v>
      </c>
      <c r="M67" s="16">
        <f t="shared" si="7"/>
        <v>1.38378626</v>
      </c>
      <c r="N67" s="16">
        <f t="shared" si="8"/>
        <v>0.344</v>
      </c>
      <c r="O67" s="16"/>
      <c r="P67" s="16"/>
      <c r="Q67" s="16"/>
    </row>
    <row r="68" ht="15.75" customHeight="1">
      <c r="A68" s="14">
        <f t="shared" si="10"/>
        <v>65</v>
      </c>
      <c r="B68" s="13" t="s">
        <v>94</v>
      </c>
      <c r="C68" s="12" t="s">
        <v>21</v>
      </c>
      <c r="D68" s="29">
        <v>15.0</v>
      </c>
      <c r="E68" s="15">
        <f t="shared" si="6"/>
        <v>7.5</v>
      </c>
      <c r="F68" s="12">
        <v>10.0</v>
      </c>
      <c r="G68" s="19">
        <v>420.3</v>
      </c>
      <c r="H68" s="19">
        <v>1.23</v>
      </c>
      <c r="I68" s="19">
        <v>0.61</v>
      </c>
      <c r="J68" s="20">
        <v>0.745</v>
      </c>
      <c r="K68" s="19">
        <v>0.41</v>
      </c>
      <c r="L68" s="19">
        <v>0.46</v>
      </c>
      <c r="M68" s="16">
        <f t="shared" si="7"/>
        <v>0.6670657795</v>
      </c>
      <c r="N68" s="16">
        <f t="shared" si="8"/>
        <v>0.06133333333</v>
      </c>
      <c r="O68" s="16"/>
      <c r="P68" s="16"/>
      <c r="Q68" s="16"/>
    </row>
    <row r="69" ht="15.75" customHeight="1">
      <c r="A69" s="14">
        <f t="shared" si="10"/>
        <v>66</v>
      </c>
      <c r="B69" s="13" t="s">
        <v>95</v>
      </c>
      <c r="C69" s="12" t="s">
        <v>21</v>
      </c>
      <c r="D69" s="29" t="s">
        <v>82</v>
      </c>
      <c r="E69" s="15">
        <f t="shared" si="6"/>
        <v>7.5</v>
      </c>
      <c r="F69" s="12">
        <v>10.0</v>
      </c>
      <c r="G69" s="19"/>
      <c r="H69" s="16"/>
      <c r="I69" s="16"/>
      <c r="J69" s="17"/>
      <c r="K69" s="16"/>
      <c r="L69" s="16"/>
      <c r="M69" s="16">
        <f t="shared" si="7"/>
        <v>0</v>
      </c>
      <c r="N69" s="16">
        <f t="shared" si="8"/>
        <v>0</v>
      </c>
      <c r="O69" s="16"/>
      <c r="P69" s="16"/>
      <c r="Q69" s="16"/>
    </row>
    <row r="70" ht="15.75" customHeight="1">
      <c r="A70" s="14">
        <f t="shared" si="10"/>
        <v>67</v>
      </c>
      <c r="B70" s="13" t="s">
        <v>96</v>
      </c>
      <c r="C70" s="12" t="s">
        <v>21</v>
      </c>
      <c r="D70" s="29">
        <v>23.8</v>
      </c>
      <c r="E70" s="15">
        <f t="shared" si="6"/>
        <v>3.75</v>
      </c>
      <c r="F70" s="12">
        <v>5.0</v>
      </c>
      <c r="G70" s="19">
        <v>419.2</v>
      </c>
      <c r="H70" s="19">
        <v>1.88</v>
      </c>
      <c r="I70" s="19">
        <v>1.29</v>
      </c>
      <c r="J70" s="20">
        <v>0.998</v>
      </c>
      <c r="K70" s="19">
        <v>0.17</v>
      </c>
      <c r="L70" s="19">
        <v>1.26</v>
      </c>
      <c r="M70" s="16">
        <f t="shared" si="7"/>
        <v>1.362252307</v>
      </c>
      <c r="N70" s="16">
        <f t="shared" si="8"/>
        <v>0.336</v>
      </c>
      <c r="O70" s="16"/>
      <c r="P70" s="16"/>
      <c r="Q70" s="16"/>
    </row>
    <row r="71" ht="15.75" customHeight="1">
      <c r="A71" s="14">
        <f t="shared" si="10"/>
        <v>68</v>
      </c>
      <c r="B71" s="13" t="s">
        <v>97</v>
      </c>
      <c r="C71" s="12" t="s">
        <v>21</v>
      </c>
      <c r="D71" s="29">
        <v>14.0</v>
      </c>
      <c r="E71" s="15">
        <f t="shared" si="6"/>
        <v>3.75</v>
      </c>
      <c r="F71" s="12">
        <v>5.0</v>
      </c>
      <c r="G71" s="19">
        <v>413.9</v>
      </c>
      <c r="H71" s="19">
        <v>1.2</v>
      </c>
      <c r="I71" s="19">
        <v>0.74</v>
      </c>
      <c r="J71" s="20">
        <v>0.961</v>
      </c>
      <c r="K71" s="16"/>
      <c r="L71" s="19">
        <v>0.61</v>
      </c>
      <c r="M71" s="16">
        <f t="shared" si="7"/>
        <v>0.8267000194</v>
      </c>
      <c r="N71" s="16">
        <f t="shared" si="8"/>
        <v>0.1626666667</v>
      </c>
      <c r="O71" s="16"/>
      <c r="P71" s="16"/>
      <c r="Q71" s="16"/>
    </row>
    <row r="72" ht="15.75" customHeight="1">
      <c r="A72" s="14">
        <f t="shared" si="10"/>
        <v>69</v>
      </c>
      <c r="B72" s="13" t="s">
        <v>98</v>
      </c>
      <c r="C72" s="12" t="s">
        <v>21</v>
      </c>
      <c r="D72" s="21"/>
      <c r="E72" s="15">
        <f t="shared" si="6"/>
        <v>3.75</v>
      </c>
      <c r="F72" s="12">
        <v>5.0</v>
      </c>
      <c r="G72" s="19">
        <v>393.0</v>
      </c>
      <c r="H72" s="19">
        <v>1.76</v>
      </c>
      <c r="I72" s="19">
        <v>1.18</v>
      </c>
      <c r="J72" s="20">
        <v>0.999</v>
      </c>
      <c r="K72" s="19">
        <v>0.03</v>
      </c>
      <c r="L72" s="19">
        <v>1.18</v>
      </c>
      <c r="M72" s="16">
        <f t="shared" si="7"/>
        <v>1.19679177</v>
      </c>
      <c r="N72" s="16">
        <f t="shared" si="8"/>
        <v>0.3146666667</v>
      </c>
      <c r="O72" s="16"/>
      <c r="P72" s="16"/>
      <c r="Q72" s="16"/>
    </row>
    <row r="73" ht="15.75" customHeight="1">
      <c r="A73" s="14">
        <f t="shared" si="10"/>
        <v>70</v>
      </c>
      <c r="B73" s="13" t="s">
        <v>99</v>
      </c>
      <c r="C73" s="14"/>
      <c r="D73" s="21"/>
      <c r="E73" s="15">
        <f t="shared" si="6"/>
        <v>3.75</v>
      </c>
      <c r="F73" s="12">
        <v>5.0</v>
      </c>
      <c r="G73" s="16"/>
      <c r="H73" s="16"/>
      <c r="I73" s="16"/>
      <c r="J73" s="17"/>
      <c r="K73" s="16"/>
      <c r="L73" s="16"/>
      <c r="M73" s="16">
        <f t="shared" si="7"/>
        <v>0</v>
      </c>
      <c r="N73" s="16">
        <f t="shared" si="8"/>
        <v>0</v>
      </c>
      <c r="O73" s="16"/>
      <c r="P73" s="16"/>
      <c r="Q73" s="16"/>
    </row>
    <row r="74" ht="15.75" customHeight="1">
      <c r="A74" s="14">
        <f t="shared" si="10"/>
        <v>71</v>
      </c>
      <c r="B74" s="13" t="s">
        <v>100</v>
      </c>
      <c r="C74" s="14"/>
      <c r="D74" s="21"/>
      <c r="E74" s="15">
        <f t="shared" si="6"/>
        <v>3.75</v>
      </c>
      <c r="F74" s="12">
        <v>5.0</v>
      </c>
      <c r="G74" s="16"/>
      <c r="H74" s="16"/>
      <c r="I74" s="16"/>
      <c r="J74" s="17"/>
      <c r="K74" s="16"/>
      <c r="L74" s="16"/>
      <c r="M74" s="16">
        <f t="shared" si="7"/>
        <v>0</v>
      </c>
      <c r="N74" s="16">
        <f t="shared" si="8"/>
        <v>0</v>
      </c>
      <c r="O74" s="16"/>
      <c r="P74" s="16"/>
      <c r="Q74" s="16"/>
    </row>
    <row r="75" ht="15.75" customHeight="1">
      <c r="A75" s="14">
        <f t="shared" si="10"/>
        <v>72</v>
      </c>
      <c r="B75" s="13" t="s">
        <v>101</v>
      </c>
      <c r="C75" s="14"/>
      <c r="D75" s="21"/>
      <c r="E75" s="15">
        <f t="shared" si="6"/>
        <v>3.75</v>
      </c>
      <c r="F75" s="12">
        <v>5.0</v>
      </c>
      <c r="G75" s="16"/>
      <c r="H75" s="16"/>
      <c r="I75" s="16"/>
      <c r="J75" s="17"/>
      <c r="K75" s="16"/>
      <c r="L75" s="16"/>
      <c r="M75" s="16">
        <f t="shared" si="7"/>
        <v>0</v>
      </c>
      <c r="N75" s="16">
        <f t="shared" si="8"/>
        <v>0</v>
      </c>
      <c r="O75" s="16"/>
      <c r="P75" s="16"/>
      <c r="Q75" s="16"/>
    </row>
    <row r="76" ht="15.75" customHeight="1">
      <c r="A76" s="14">
        <f t="shared" si="10"/>
        <v>73</v>
      </c>
      <c r="B76" s="13" t="s">
        <v>102</v>
      </c>
      <c r="C76" s="12" t="s">
        <v>21</v>
      </c>
      <c r="D76" s="29">
        <v>38.0</v>
      </c>
      <c r="E76" s="15">
        <f t="shared" si="6"/>
        <v>3.75</v>
      </c>
      <c r="F76" s="12">
        <v>5.0</v>
      </c>
      <c r="G76" s="19">
        <v>410.3</v>
      </c>
      <c r="H76" s="19">
        <v>2.0</v>
      </c>
      <c r="I76" s="19">
        <v>1.37</v>
      </c>
      <c r="J76" s="20">
        <v>0.989</v>
      </c>
      <c r="K76" s="19">
        <v>0.19</v>
      </c>
      <c r="L76" s="19">
        <v>1.3</v>
      </c>
      <c r="M76" s="16">
        <f t="shared" si="7"/>
        <v>1.405645129</v>
      </c>
      <c r="N76" s="16">
        <f t="shared" si="8"/>
        <v>0.3466666667</v>
      </c>
      <c r="O76" s="16"/>
      <c r="P76" s="16"/>
      <c r="Q76" s="16"/>
    </row>
    <row r="77" ht="15.75" customHeight="1">
      <c r="A77" s="14">
        <f t="shared" si="10"/>
        <v>74</v>
      </c>
      <c r="B77" s="13" t="s">
        <v>103</v>
      </c>
      <c r="C77" s="14"/>
      <c r="D77" s="29" t="s">
        <v>104</v>
      </c>
      <c r="E77" s="15">
        <f t="shared" si="6"/>
        <v>3.75</v>
      </c>
      <c r="F77" s="12">
        <v>5.0</v>
      </c>
      <c r="G77" s="16"/>
      <c r="H77" s="16"/>
      <c r="I77" s="16"/>
      <c r="J77" s="17"/>
      <c r="K77" s="16"/>
      <c r="L77" s="16"/>
      <c r="M77" s="16">
        <f t="shared" si="7"/>
        <v>0</v>
      </c>
      <c r="N77" s="16">
        <f t="shared" si="8"/>
        <v>0</v>
      </c>
      <c r="O77" s="16"/>
      <c r="P77" s="16"/>
      <c r="Q77" s="16"/>
    </row>
    <row r="78" ht="15.75" customHeight="1">
      <c r="A78" s="14">
        <f t="shared" si="10"/>
        <v>75</v>
      </c>
      <c r="B78" s="13" t="s">
        <v>105</v>
      </c>
      <c r="C78" s="12" t="s">
        <v>21</v>
      </c>
      <c r="D78" s="29">
        <v>20.0</v>
      </c>
      <c r="E78" s="15">
        <f t="shared" si="6"/>
        <v>5.625</v>
      </c>
      <c r="F78" s="12">
        <v>7.5</v>
      </c>
      <c r="G78" s="19">
        <v>405.2</v>
      </c>
      <c r="H78" s="19">
        <v>1.79</v>
      </c>
      <c r="I78" s="19">
        <v>1.14</v>
      </c>
      <c r="J78" s="20">
        <v>0.982</v>
      </c>
      <c r="K78" s="19">
        <v>0.2</v>
      </c>
      <c r="L78" s="19">
        <v>1.1</v>
      </c>
      <c r="M78" s="16">
        <f t="shared" si="7"/>
        <v>1.233621254</v>
      </c>
      <c r="N78" s="16">
        <f t="shared" si="8"/>
        <v>0.1955555556</v>
      </c>
      <c r="O78" s="16"/>
      <c r="P78" s="16"/>
      <c r="Q78" s="16"/>
    </row>
    <row r="79" ht="15.75" customHeight="1">
      <c r="A79" s="14">
        <f t="shared" si="10"/>
        <v>76</v>
      </c>
      <c r="B79" s="13" t="s">
        <v>106</v>
      </c>
      <c r="C79" s="14"/>
      <c r="D79" s="21"/>
      <c r="E79" s="15">
        <f t="shared" si="6"/>
        <v>3.75</v>
      </c>
      <c r="F79" s="12">
        <v>5.0</v>
      </c>
      <c r="G79" s="19">
        <v>405.4</v>
      </c>
      <c r="H79" s="19">
        <v>1.0</v>
      </c>
      <c r="I79" s="19">
        <v>0.66</v>
      </c>
      <c r="J79" s="20">
        <v>0.947</v>
      </c>
      <c r="K79" s="19">
        <v>0.14</v>
      </c>
      <c r="L79" s="19">
        <v>0.64</v>
      </c>
      <c r="M79" s="16">
        <f t="shared" si="7"/>
        <v>0.6649387016</v>
      </c>
      <c r="N79" s="16">
        <f t="shared" si="8"/>
        <v>0.1706666667</v>
      </c>
      <c r="O79" s="16"/>
      <c r="P79" s="16"/>
      <c r="Q79" s="16"/>
    </row>
    <row r="80" ht="15.75" customHeight="1">
      <c r="A80" s="14">
        <f t="shared" si="10"/>
        <v>77</v>
      </c>
      <c r="B80" s="13" t="s">
        <v>107</v>
      </c>
      <c r="C80" s="14"/>
      <c r="D80" s="21"/>
      <c r="E80" s="15">
        <f t="shared" si="6"/>
        <v>3.75</v>
      </c>
      <c r="F80" s="12">
        <v>5.0</v>
      </c>
      <c r="G80" s="16"/>
      <c r="H80" s="16"/>
      <c r="I80" s="16"/>
      <c r="J80" s="17"/>
      <c r="K80" s="16"/>
      <c r="L80" s="16"/>
      <c r="M80" s="16">
        <f t="shared" si="7"/>
        <v>0</v>
      </c>
      <c r="N80" s="16">
        <f t="shared" si="8"/>
        <v>0</v>
      </c>
      <c r="O80" s="16"/>
      <c r="P80" s="16"/>
      <c r="Q80" s="16"/>
    </row>
    <row r="81" ht="15.75" customHeight="1">
      <c r="A81" s="14">
        <f t="shared" si="10"/>
        <v>78</v>
      </c>
      <c r="B81" s="13" t="s">
        <v>108</v>
      </c>
      <c r="C81" s="12" t="s">
        <v>21</v>
      </c>
      <c r="D81" s="29">
        <v>39.75</v>
      </c>
      <c r="E81" s="15">
        <f t="shared" si="6"/>
        <v>3.75</v>
      </c>
      <c r="F81" s="12">
        <v>5.0</v>
      </c>
      <c r="G81" s="19">
        <v>405.0</v>
      </c>
      <c r="H81" s="19">
        <v>1.75</v>
      </c>
      <c r="I81" s="19">
        <v>1.16</v>
      </c>
      <c r="J81" s="20">
        <v>0.989</v>
      </c>
      <c r="K81" s="19">
        <v>0.16</v>
      </c>
      <c r="L81" s="19">
        <v>1.15</v>
      </c>
      <c r="M81" s="16">
        <f t="shared" si="7"/>
        <v>1.214051895</v>
      </c>
      <c r="N81" s="16">
        <f t="shared" si="8"/>
        <v>0.3066666667</v>
      </c>
      <c r="O81" s="16"/>
      <c r="P81" s="16"/>
      <c r="Q81" s="16"/>
    </row>
    <row r="82" ht="15.75" customHeight="1">
      <c r="A82" s="14">
        <f t="shared" si="10"/>
        <v>79</v>
      </c>
      <c r="B82" s="13" t="s">
        <v>109</v>
      </c>
      <c r="C82" s="14"/>
      <c r="D82" s="21"/>
      <c r="E82" s="15">
        <f t="shared" si="6"/>
        <v>5.625</v>
      </c>
      <c r="F82" s="12">
        <v>7.5</v>
      </c>
      <c r="G82" s="16"/>
      <c r="H82" s="16"/>
      <c r="I82" s="16"/>
      <c r="J82" s="17"/>
      <c r="K82" s="16"/>
      <c r="L82" s="16"/>
      <c r="M82" s="16">
        <f t="shared" si="7"/>
        <v>0</v>
      </c>
      <c r="N82" s="16">
        <f t="shared" si="8"/>
        <v>0</v>
      </c>
      <c r="O82" s="16"/>
      <c r="P82" s="16"/>
      <c r="Q82" s="16"/>
    </row>
    <row r="83" ht="15.75" customHeight="1">
      <c r="A83" s="14">
        <f t="shared" si="10"/>
        <v>80</v>
      </c>
      <c r="B83" s="13" t="s">
        <v>110</v>
      </c>
      <c r="C83" s="14"/>
      <c r="D83" s="21"/>
      <c r="E83" s="15">
        <f t="shared" si="6"/>
        <v>5.625</v>
      </c>
      <c r="F83" s="12">
        <v>7.5</v>
      </c>
      <c r="G83" s="16"/>
      <c r="H83" s="16"/>
      <c r="I83" s="16"/>
      <c r="J83" s="17"/>
      <c r="K83" s="16"/>
      <c r="L83" s="16"/>
      <c r="M83" s="16">
        <f t="shared" si="7"/>
        <v>0</v>
      </c>
      <c r="N83" s="16">
        <f t="shared" si="8"/>
        <v>0</v>
      </c>
      <c r="O83" s="16"/>
      <c r="P83" s="16"/>
      <c r="Q83" s="16"/>
    </row>
    <row r="84" ht="15.75" customHeight="1">
      <c r="A84" s="14">
        <f t="shared" si="10"/>
        <v>81</v>
      </c>
      <c r="B84" s="13" t="s">
        <v>111</v>
      </c>
      <c r="C84" s="14"/>
      <c r="D84" s="21"/>
      <c r="E84" s="15">
        <f t="shared" si="6"/>
        <v>3.75</v>
      </c>
      <c r="F84" s="12">
        <v>5.0</v>
      </c>
      <c r="G84" s="16"/>
      <c r="H84" s="16"/>
      <c r="I84" s="16"/>
      <c r="J84" s="17"/>
      <c r="K84" s="16"/>
      <c r="L84" s="16"/>
      <c r="M84" s="16">
        <f t="shared" si="7"/>
        <v>0</v>
      </c>
      <c r="N84" s="16">
        <f t="shared" si="8"/>
        <v>0</v>
      </c>
      <c r="O84" s="16"/>
      <c r="P84" s="16"/>
      <c r="Q84" s="16"/>
    </row>
    <row r="85" ht="15.75" customHeight="1">
      <c r="A85" s="14">
        <f t="shared" si="10"/>
        <v>82</v>
      </c>
      <c r="B85" s="13" t="s">
        <v>112</v>
      </c>
      <c r="C85" s="14"/>
      <c r="D85" s="21"/>
      <c r="E85" s="15">
        <f t="shared" si="6"/>
        <v>3.75</v>
      </c>
      <c r="F85" s="12">
        <v>5.0</v>
      </c>
      <c r="G85" s="16"/>
      <c r="H85" s="16"/>
      <c r="I85" s="16"/>
      <c r="J85" s="17"/>
      <c r="K85" s="16"/>
      <c r="L85" s="16"/>
      <c r="M85" s="16">
        <f t="shared" si="7"/>
        <v>0</v>
      </c>
      <c r="N85" s="16">
        <f t="shared" si="8"/>
        <v>0</v>
      </c>
      <c r="O85" s="16"/>
      <c r="P85" s="16"/>
      <c r="Q85" s="16"/>
    </row>
    <row r="86" ht="15.75" customHeight="1">
      <c r="A86" s="23" t="s">
        <v>17</v>
      </c>
      <c r="B86" s="24" t="s">
        <v>113</v>
      </c>
      <c r="C86" s="25"/>
      <c r="D86" s="30"/>
      <c r="E86" s="26"/>
      <c r="F86" s="23"/>
      <c r="G86" s="27"/>
      <c r="H86" s="27"/>
      <c r="I86" s="27"/>
      <c r="J86" s="28"/>
      <c r="K86" s="27"/>
      <c r="L86" s="27"/>
      <c r="M86" s="27"/>
      <c r="N86" s="27"/>
      <c r="O86" s="27"/>
      <c r="P86" s="27"/>
      <c r="Q86" s="27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ht="15.75" customHeight="1">
      <c r="A87" s="14">
        <f>A85+1</f>
        <v>83</v>
      </c>
      <c r="B87" s="13" t="s">
        <v>114</v>
      </c>
      <c r="C87" s="14"/>
      <c r="D87" s="21"/>
      <c r="E87" s="15">
        <f t="shared" ref="E87:E97" si="11">F87*0.75</f>
        <v>0</v>
      </c>
      <c r="F87" s="12"/>
      <c r="G87" s="19">
        <v>417.0</v>
      </c>
      <c r="H87" s="19">
        <v>65.5</v>
      </c>
      <c r="I87" s="19">
        <v>47.92</v>
      </c>
      <c r="J87" s="20">
        <v>0.936</v>
      </c>
      <c r="K87" s="19">
        <v>15.12</v>
      </c>
      <c r="L87" s="19">
        <v>44.66</v>
      </c>
      <c r="M87" s="16">
        <f t="shared" ref="M87:M97" si="12">1.732*G87*H87*J87/1000</f>
        <v>44.27933515</v>
      </c>
      <c r="N87" s="16" t="str">
        <f t="shared" ref="N87:N97" si="13">L87/E87</f>
        <v>#DIV/0!</v>
      </c>
      <c r="O87" s="19">
        <v>12.6</v>
      </c>
      <c r="P87" s="19">
        <v>22.8</v>
      </c>
      <c r="Q87" s="16"/>
    </row>
    <row r="88" ht="15.75" customHeight="1">
      <c r="A88" s="14">
        <f t="shared" ref="A88:A96" si="14">A87+1</f>
        <v>84</v>
      </c>
      <c r="B88" s="13" t="s">
        <v>115</v>
      </c>
      <c r="C88" s="12" t="s">
        <v>21</v>
      </c>
      <c r="D88" s="29">
        <v>25.34</v>
      </c>
      <c r="E88" s="15">
        <f t="shared" si="11"/>
        <v>15</v>
      </c>
      <c r="F88" s="12">
        <v>20.0</v>
      </c>
      <c r="G88" s="19">
        <v>413.5</v>
      </c>
      <c r="H88" s="19">
        <v>2.72</v>
      </c>
      <c r="I88" s="19">
        <v>1.88</v>
      </c>
      <c r="J88" s="20">
        <v>0.983</v>
      </c>
      <c r="K88" s="19">
        <v>0.33</v>
      </c>
      <c r="L88" s="19">
        <v>1.85</v>
      </c>
      <c r="M88" s="16">
        <f t="shared" si="12"/>
        <v>1.914898784</v>
      </c>
      <c r="N88" s="16">
        <f t="shared" si="13"/>
        <v>0.1233333333</v>
      </c>
      <c r="O88" s="16"/>
      <c r="P88" s="16"/>
      <c r="Q88" s="16"/>
    </row>
    <row r="89" ht="15.75" customHeight="1">
      <c r="A89" s="14">
        <f t="shared" si="14"/>
        <v>85</v>
      </c>
      <c r="B89" s="13" t="s">
        <v>116</v>
      </c>
      <c r="C89" s="12" t="s">
        <v>21</v>
      </c>
      <c r="D89" s="29">
        <v>48.0</v>
      </c>
      <c r="E89" s="15">
        <f t="shared" si="11"/>
        <v>15</v>
      </c>
      <c r="F89" s="12">
        <v>20.0</v>
      </c>
      <c r="G89" s="19">
        <v>415.0</v>
      </c>
      <c r="H89" s="19">
        <v>10.63</v>
      </c>
      <c r="I89" s="19">
        <v>7.47</v>
      </c>
      <c r="J89" s="20">
        <v>0.987</v>
      </c>
      <c r="K89" s="19">
        <v>1.17</v>
      </c>
      <c r="L89" s="19">
        <v>7.4</v>
      </c>
      <c r="M89" s="16">
        <f t="shared" si="12"/>
        <v>7.541303192</v>
      </c>
      <c r="N89" s="16">
        <f t="shared" si="13"/>
        <v>0.4933333333</v>
      </c>
      <c r="O89" s="16"/>
      <c r="P89" s="16"/>
      <c r="Q89" s="16"/>
    </row>
    <row r="90" ht="15.75" customHeight="1">
      <c r="A90" s="14">
        <f t="shared" si="14"/>
        <v>86</v>
      </c>
      <c r="B90" s="13" t="s">
        <v>117</v>
      </c>
      <c r="C90" s="12" t="s">
        <v>21</v>
      </c>
      <c r="D90" s="29">
        <v>38.0</v>
      </c>
      <c r="E90" s="15">
        <f t="shared" si="11"/>
        <v>15</v>
      </c>
      <c r="F90" s="12">
        <v>20.0</v>
      </c>
      <c r="G90" s="19">
        <v>410.0</v>
      </c>
      <c r="H90" s="19">
        <v>7.21</v>
      </c>
      <c r="I90" s="19">
        <v>4.93</v>
      </c>
      <c r="J90" s="20">
        <v>0.981</v>
      </c>
      <c r="K90" s="19">
        <v>0.95</v>
      </c>
      <c r="L90" s="19">
        <v>4.88</v>
      </c>
      <c r="M90" s="16">
        <f t="shared" si="12"/>
        <v>5.022685861</v>
      </c>
      <c r="N90" s="16">
        <f t="shared" si="13"/>
        <v>0.3253333333</v>
      </c>
      <c r="O90" s="16"/>
      <c r="P90" s="16"/>
      <c r="Q90" s="16"/>
    </row>
    <row r="91" ht="15.75" customHeight="1">
      <c r="A91" s="14">
        <f t="shared" si="14"/>
        <v>87</v>
      </c>
      <c r="B91" s="13" t="s">
        <v>118</v>
      </c>
      <c r="C91" s="12" t="s">
        <v>21</v>
      </c>
      <c r="D91" s="29">
        <v>48.0</v>
      </c>
      <c r="E91" s="15">
        <f t="shared" si="11"/>
        <v>15</v>
      </c>
      <c r="F91" s="12">
        <v>20.0</v>
      </c>
      <c r="G91" s="19">
        <v>414.6</v>
      </c>
      <c r="H91" s="19">
        <v>11.7</v>
      </c>
      <c r="I91" s="19">
        <v>8.19</v>
      </c>
      <c r="J91" s="20">
        <v>0.992</v>
      </c>
      <c r="K91" s="19">
        <v>0.99</v>
      </c>
      <c r="L91" s="19">
        <v>8.17</v>
      </c>
      <c r="M91" s="16">
        <f t="shared" si="12"/>
        <v>8.334407278</v>
      </c>
      <c r="N91" s="16">
        <f t="shared" si="13"/>
        <v>0.5446666667</v>
      </c>
      <c r="O91" s="16"/>
      <c r="P91" s="16"/>
      <c r="Q91" s="16"/>
    </row>
    <row r="92" ht="15.75" customHeight="1">
      <c r="A92" s="14">
        <f t="shared" si="14"/>
        <v>88</v>
      </c>
      <c r="B92" s="13" t="s">
        <v>119</v>
      </c>
      <c r="C92" s="12" t="s">
        <v>21</v>
      </c>
      <c r="D92" s="29">
        <v>48.0</v>
      </c>
      <c r="E92" s="15">
        <f t="shared" si="11"/>
        <v>15</v>
      </c>
      <c r="F92" s="12">
        <v>20.0</v>
      </c>
      <c r="G92" s="19">
        <v>413.7</v>
      </c>
      <c r="H92" s="19">
        <v>12.88</v>
      </c>
      <c r="I92" s="19">
        <v>9.01</v>
      </c>
      <c r="J92" s="20">
        <v>0.989</v>
      </c>
      <c r="K92" s="19">
        <v>1.32</v>
      </c>
      <c r="L92" s="19">
        <v>8.95</v>
      </c>
      <c r="M92" s="16">
        <f t="shared" si="12"/>
        <v>9.127368048</v>
      </c>
      <c r="N92" s="16">
        <f t="shared" si="13"/>
        <v>0.5966666667</v>
      </c>
      <c r="O92" s="16"/>
      <c r="P92" s="16"/>
      <c r="Q92" s="16"/>
    </row>
    <row r="93" ht="15.75" customHeight="1">
      <c r="A93" s="14">
        <f t="shared" si="14"/>
        <v>89</v>
      </c>
      <c r="B93" s="13" t="s">
        <v>120</v>
      </c>
      <c r="C93" s="12" t="s">
        <v>21</v>
      </c>
      <c r="D93" s="29">
        <v>42.0</v>
      </c>
      <c r="E93" s="15">
        <f t="shared" si="11"/>
        <v>15</v>
      </c>
      <c r="F93" s="12">
        <v>20.0</v>
      </c>
      <c r="G93" s="19">
        <v>413.8</v>
      </c>
      <c r="H93" s="19">
        <v>10.1</v>
      </c>
      <c r="I93" s="19">
        <v>7.06</v>
      </c>
      <c r="J93" s="20">
        <v>0.988</v>
      </c>
      <c r="K93" s="19">
        <v>1.08</v>
      </c>
      <c r="L93" s="19">
        <v>6.98</v>
      </c>
      <c r="M93" s="16">
        <f t="shared" si="12"/>
        <v>7.151821926</v>
      </c>
      <c r="N93" s="16">
        <f t="shared" si="13"/>
        <v>0.4653333333</v>
      </c>
      <c r="O93" s="16"/>
      <c r="P93" s="16"/>
      <c r="Q93" s="16"/>
    </row>
    <row r="94" ht="15.75" customHeight="1">
      <c r="A94" s="14">
        <f t="shared" si="14"/>
        <v>90</v>
      </c>
      <c r="B94" s="13" t="s">
        <v>121</v>
      </c>
      <c r="C94" s="14"/>
      <c r="D94" s="21"/>
      <c r="E94" s="15">
        <f t="shared" si="11"/>
        <v>3.75</v>
      </c>
      <c r="F94" s="12">
        <v>5.0</v>
      </c>
      <c r="G94" s="16"/>
      <c r="H94" s="16"/>
      <c r="I94" s="16"/>
      <c r="J94" s="17"/>
      <c r="K94" s="16"/>
      <c r="L94" s="16"/>
      <c r="M94" s="16">
        <f t="shared" si="12"/>
        <v>0</v>
      </c>
      <c r="N94" s="16">
        <f t="shared" si="13"/>
        <v>0</v>
      </c>
      <c r="O94" s="16"/>
      <c r="P94" s="16"/>
      <c r="Q94" s="16"/>
    </row>
    <row r="95" ht="15.75" customHeight="1">
      <c r="A95" s="14">
        <f t="shared" si="14"/>
        <v>91</v>
      </c>
      <c r="B95" s="13" t="s">
        <v>122</v>
      </c>
      <c r="C95" s="14"/>
      <c r="D95" s="21"/>
      <c r="E95" s="15">
        <f t="shared" si="11"/>
        <v>3.75</v>
      </c>
      <c r="F95" s="12">
        <v>5.0</v>
      </c>
      <c r="G95" s="16"/>
      <c r="H95" s="16"/>
      <c r="I95" s="16"/>
      <c r="J95" s="17"/>
      <c r="K95" s="16"/>
      <c r="L95" s="16"/>
      <c r="M95" s="16">
        <f t="shared" si="12"/>
        <v>0</v>
      </c>
      <c r="N95" s="16">
        <f t="shared" si="13"/>
        <v>0</v>
      </c>
      <c r="O95" s="16"/>
      <c r="P95" s="16"/>
      <c r="Q95" s="16"/>
    </row>
    <row r="96" ht="15.75" customHeight="1">
      <c r="A96" s="14">
        <f t="shared" si="14"/>
        <v>92</v>
      </c>
      <c r="B96" s="13" t="s">
        <v>123</v>
      </c>
      <c r="C96" s="12" t="s">
        <v>21</v>
      </c>
      <c r="D96" s="29">
        <v>23.88</v>
      </c>
      <c r="E96" s="15">
        <f t="shared" si="11"/>
        <v>7.5</v>
      </c>
      <c r="F96" s="12">
        <v>10.0</v>
      </c>
      <c r="G96" s="19">
        <v>415.3</v>
      </c>
      <c r="H96" s="19">
        <v>4.47</v>
      </c>
      <c r="I96" s="19">
        <v>3.07</v>
      </c>
      <c r="J96" s="20">
        <v>0.981</v>
      </c>
      <c r="K96" s="19">
        <v>0.58</v>
      </c>
      <c r="L96" s="19">
        <v>3.02</v>
      </c>
      <c r="M96" s="16">
        <f t="shared" si="12"/>
        <v>3.154179097</v>
      </c>
      <c r="N96" s="16">
        <f t="shared" si="13"/>
        <v>0.4026666667</v>
      </c>
      <c r="O96" s="16"/>
      <c r="P96" s="16"/>
      <c r="Q96" s="16"/>
    </row>
    <row r="97" ht="15.75" customHeight="1">
      <c r="A97" s="14"/>
      <c r="B97" s="13"/>
      <c r="C97" s="14"/>
      <c r="D97" s="21"/>
      <c r="E97" s="15">
        <f t="shared" si="11"/>
        <v>0</v>
      </c>
      <c r="F97" s="12"/>
      <c r="G97" s="16"/>
      <c r="H97" s="16"/>
      <c r="I97" s="16"/>
      <c r="J97" s="17"/>
      <c r="K97" s="16"/>
      <c r="L97" s="16"/>
      <c r="M97" s="16">
        <f t="shared" si="12"/>
        <v>0</v>
      </c>
      <c r="N97" s="16" t="str">
        <f t="shared" si="13"/>
        <v>#DIV/0!</v>
      </c>
      <c r="O97" s="16"/>
      <c r="P97" s="16"/>
      <c r="Q97" s="16"/>
    </row>
    <row r="98" ht="15.75" customHeight="1">
      <c r="A98" s="23" t="s">
        <v>17</v>
      </c>
      <c r="B98" s="24" t="s">
        <v>124</v>
      </c>
      <c r="C98" s="25"/>
      <c r="D98" s="30"/>
      <c r="E98" s="26"/>
      <c r="F98" s="23"/>
      <c r="G98" s="27"/>
      <c r="H98" s="27"/>
      <c r="I98" s="27"/>
      <c r="J98" s="28"/>
      <c r="K98" s="27"/>
      <c r="L98" s="27"/>
      <c r="M98" s="27"/>
      <c r="N98" s="27"/>
      <c r="O98" s="27"/>
      <c r="P98" s="27"/>
      <c r="Q98" s="27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ht="15.75" customHeight="1">
      <c r="A99" s="14">
        <f>A96+1</f>
        <v>93</v>
      </c>
      <c r="B99" s="13" t="s">
        <v>114</v>
      </c>
      <c r="C99" s="14"/>
      <c r="D99" s="21"/>
      <c r="E99" s="15">
        <f t="shared" ref="E99:E109" si="15">F99*0.75</f>
        <v>0</v>
      </c>
      <c r="F99" s="12"/>
      <c r="G99" s="16"/>
      <c r="H99" s="16"/>
      <c r="I99" s="16"/>
      <c r="J99" s="17"/>
      <c r="K99" s="16"/>
      <c r="L99" s="16"/>
      <c r="M99" s="16">
        <f t="shared" ref="M99:M109" si="16">1.732*G99*H99*J99/1000</f>
        <v>0</v>
      </c>
      <c r="N99" s="16" t="str">
        <f t="shared" ref="N99:N109" si="17">L99/E99</f>
        <v>#DIV/0!</v>
      </c>
      <c r="O99" s="16"/>
      <c r="P99" s="16"/>
      <c r="Q99" s="19" t="s">
        <v>125</v>
      </c>
    </row>
    <row r="100" ht="15.75" customHeight="1">
      <c r="A100" s="14">
        <f t="shared" ref="A100:A108" si="18">A99+1</f>
        <v>94</v>
      </c>
      <c r="B100" s="13" t="s">
        <v>115</v>
      </c>
      <c r="C100" s="14"/>
      <c r="D100" s="21"/>
      <c r="E100" s="15">
        <f t="shared" si="15"/>
        <v>15</v>
      </c>
      <c r="F100" s="12">
        <v>20.0</v>
      </c>
      <c r="G100" s="16"/>
      <c r="H100" s="16"/>
      <c r="I100" s="16"/>
      <c r="J100" s="17"/>
      <c r="K100" s="16"/>
      <c r="L100" s="16"/>
      <c r="M100" s="16">
        <f t="shared" si="16"/>
        <v>0</v>
      </c>
      <c r="N100" s="16">
        <f t="shared" si="17"/>
        <v>0</v>
      </c>
      <c r="O100" s="16"/>
      <c r="P100" s="16"/>
      <c r="Q100" s="16"/>
    </row>
    <row r="101" ht="15.75" customHeight="1">
      <c r="A101" s="14">
        <f t="shared" si="18"/>
        <v>95</v>
      </c>
      <c r="B101" s="13" t="s">
        <v>116</v>
      </c>
      <c r="C101" s="14"/>
      <c r="D101" s="21"/>
      <c r="E101" s="15">
        <f t="shared" si="15"/>
        <v>11.25</v>
      </c>
      <c r="F101" s="12">
        <v>15.0</v>
      </c>
      <c r="G101" s="16"/>
      <c r="H101" s="16"/>
      <c r="I101" s="16"/>
      <c r="J101" s="17"/>
      <c r="K101" s="16"/>
      <c r="L101" s="16"/>
      <c r="M101" s="16">
        <f t="shared" si="16"/>
        <v>0</v>
      </c>
      <c r="N101" s="16">
        <f t="shared" si="17"/>
        <v>0</v>
      </c>
      <c r="O101" s="16"/>
      <c r="P101" s="16"/>
      <c r="Q101" s="16"/>
    </row>
    <row r="102" ht="15.75" customHeight="1">
      <c r="A102" s="14">
        <f t="shared" si="18"/>
        <v>96</v>
      </c>
      <c r="B102" s="13" t="s">
        <v>117</v>
      </c>
      <c r="C102" s="14"/>
      <c r="D102" s="21"/>
      <c r="E102" s="15">
        <f t="shared" si="15"/>
        <v>11.25</v>
      </c>
      <c r="F102" s="12">
        <v>15.0</v>
      </c>
      <c r="G102" s="16"/>
      <c r="H102" s="16"/>
      <c r="I102" s="16"/>
      <c r="J102" s="17"/>
      <c r="K102" s="16"/>
      <c r="L102" s="16"/>
      <c r="M102" s="16">
        <f t="shared" si="16"/>
        <v>0</v>
      </c>
      <c r="N102" s="16">
        <f t="shared" si="17"/>
        <v>0</v>
      </c>
      <c r="O102" s="16"/>
      <c r="P102" s="16"/>
      <c r="Q102" s="16"/>
    </row>
    <row r="103" ht="15.75" customHeight="1">
      <c r="A103" s="14">
        <f t="shared" si="18"/>
        <v>97</v>
      </c>
      <c r="B103" s="13" t="s">
        <v>118</v>
      </c>
      <c r="C103" s="14"/>
      <c r="D103" s="21"/>
      <c r="E103" s="15">
        <f t="shared" si="15"/>
        <v>11.25</v>
      </c>
      <c r="F103" s="12">
        <v>15.0</v>
      </c>
      <c r="G103" s="16"/>
      <c r="H103" s="16"/>
      <c r="I103" s="16"/>
      <c r="J103" s="17"/>
      <c r="K103" s="16"/>
      <c r="L103" s="16"/>
      <c r="M103" s="16">
        <f t="shared" si="16"/>
        <v>0</v>
      </c>
      <c r="N103" s="16">
        <f t="shared" si="17"/>
        <v>0</v>
      </c>
      <c r="O103" s="16"/>
      <c r="P103" s="16"/>
      <c r="Q103" s="16"/>
    </row>
    <row r="104" ht="15.75" customHeight="1">
      <c r="A104" s="14">
        <f t="shared" si="18"/>
        <v>98</v>
      </c>
      <c r="B104" s="13" t="s">
        <v>119</v>
      </c>
      <c r="C104" s="14"/>
      <c r="D104" s="21"/>
      <c r="E104" s="15">
        <f t="shared" si="15"/>
        <v>11.25</v>
      </c>
      <c r="F104" s="12">
        <v>15.0</v>
      </c>
      <c r="G104" s="16"/>
      <c r="H104" s="16"/>
      <c r="I104" s="16"/>
      <c r="J104" s="17"/>
      <c r="K104" s="16"/>
      <c r="L104" s="16"/>
      <c r="M104" s="16">
        <f t="shared" si="16"/>
        <v>0</v>
      </c>
      <c r="N104" s="16">
        <f t="shared" si="17"/>
        <v>0</v>
      </c>
      <c r="O104" s="16"/>
      <c r="P104" s="16"/>
      <c r="Q104" s="16"/>
    </row>
    <row r="105" ht="15.75" customHeight="1">
      <c r="A105" s="14">
        <f t="shared" si="18"/>
        <v>99</v>
      </c>
      <c r="B105" s="13" t="s">
        <v>120</v>
      </c>
      <c r="C105" s="14"/>
      <c r="D105" s="21"/>
      <c r="E105" s="15">
        <f t="shared" si="15"/>
        <v>11.25</v>
      </c>
      <c r="F105" s="12">
        <v>15.0</v>
      </c>
      <c r="G105" s="16"/>
      <c r="H105" s="16"/>
      <c r="I105" s="16" t="str">
        <f>Z25:Z26</f>
        <v>#VALUE!</v>
      </c>
      <c r="J105" s="17"/>
      <c r="K105" s="16"/>
      <c r="L105" s="16"/>
      <c r="M105" s="16">
        <f t="shared" si="16"/>
        <v>0</v>
      </c>
      <c r="N105" s="16">
        <f t="shared" si="17"/>
        <v>0</v>
      </c>
      <c r="O105" s="16"/>
      <c r="P105" s="16"/>
      <c r="Q105" s="16"/>
    </row>
    <row r="106" ht="15.75" customHeight="1">
      <c r="A106" s="14">
        <f t="shared" si="18"/>
        <v>100</v>
      </c>
      <c r="B106" s="13" t="s">
        <v>121</v>
      </c>
      <c r="C106" s="14"/>
      <c r="D106" s="21"/>
      <c r="E106" s="15">
        <f t="shared" si="15"/>
        <v>3.75</v>
      </c>
      <c r="F106" s="12">
        <v>5.0</v>
      </c>
      <c r="G106" s="16"/>
      <c r="H106" s="16"/>
      <c r="I106" s="16"/>
      <c r="J106" s="17"/>
      <c r="K106" s="16"/>
      <c r="L106" s="16"/>
      <c r="M106" s="16">
        <f t="shared" si="16"/>
        <v>0</v>
      </c>
      <c r="N106" s="16">
        <f t="shared" si="17"/>
        <v>0</v>
      </c>
      <c r="O106" s="16"/>
      <c r="P106" s="16"/>
      <c r="Q106" s="16"/>
    </row>
    <row r="107" ht="15.75" customHeight="1">
      <c r="A107" s="14">
        <f t="shared" si="18"/>
        <v>101</v>
      </c>
      <c r="B107" s="13" t="s">
        <v>122</v>
      </c>
      <c r="C107" s="14"/>
      <c r="D107" s="21"/>
      <c r="E107" s="15">
        <f t="shared" si="15"/>
        <v>3.75</v>
      </c>
      <c r="F107" s="12">
        <v>5.0</v>
      </c>
      <c r="G107" s="16"/>
      <c r="H107" s="16"/>
      <c r="I107" s="16"/>
      <c r="J107" s="17"/>
      <c r="K107" s="16"/>
      <c r="L107" s="16"/>
      <c r="M107" s="16">
        <f t="shared" si="16"/>
        <v>0</v>
      </c>
      <c r="N107" s="16">
        <f t="shared" si="17"/>
        <v>0</v>
      </c>
      <c r="O107" s="16"/>
      <c r="P107" s="16"/>
      <c r="Q107" s="16"/>
    </row>
    <row r="108" ht="15.75" customHeight="1">
      <c r="A108" s="14">
        <f t="shared" si="18"/>
        <v>102</v>
      </c>
      <c r="B108" s="13" t="s">
        <v>123</v>
      </c>
      <c r="C108" s="14"/>
      <c r="D108" s="21"/>
      <c r="E108" s="15">
        <f t="shared" si="15"/>
        <v>7.5</v>
      </c>
      <c r="F108" s="12">
        <v>10.0</v>
      </c>
      <c r="G108" s="16"/>
      <c r="H108" s="16"/>
      <c r="I108" s="16"/>
      <c r="J108" s="17"/>
      <c r="K108" s="16"/>
      <c r="L108" s="16"/>
      <c r="M108" s="16">
        <f t="shared" si="16"/>
        <v>0</v>
      </c>
      <c r="N108" s="16">
        <f t="shared" si="17"/>
        <v>0</v>
      </c>
      <c r="O108" s="16"/>
      <c r="P108" s="16"/>
      <c r="Q108" s="16"/>
    </row>
    <row r="109" ht="15.75" customHeight="1">
      <c r="A109" s="14"/>
      <c r="B109" s="13"/>
      <c r="C109" s="14"/>
      <c r="D109" s="21"/>
      <c r="E109" s="15">
        <f t="shared" si="15"/>
        <v>0</v>
      </c>
      <c r="F109" s="12"/>
      <c r="G109" s="16"/>
      <c r="H109" s="16"/>
      <c r="I109" s="16"/>
      <c r="J109" s="17"/>
      <c r="K109" s="16"/>
      <c r="L109" s="16"/>
      <c r="M109" s="16">
        <f t="shared" si="16"/>
        <v>0</v>
      </c>
      <c r="N109" s="16" t="str">
        <f t="shared" si="17"/>
        <v>#DIV/0!</v>
      </c>
      <c r="O109" s="16"/>
      <c r="P109" s="16"/>
      <c r="Q109" s="16"/>
    </row>
    <row r="110" ht="15.75" customHeight="1">
      <c r="A110" s="23" t="s">
        <v>17</v>
      </c>
      <c r="B110" s="24" t="s">
        <v>126</v>
      </c>
      <c r="C110" s="25"/>
      <c r="D110" s="30"/>
      <c r="E110" s="26"/>
      <c r="F110" s="23"/>
      <c r="G110" s="27"/>
      <c r="H110" s="27"/>
      <c r="I110" s="27"/>
      <c r="J110" s="28"/>
      <c r="K110" s="27"/>
      <c r="L110" s="27"/>
      <c r="M110" s="27"/>
      <c r="N110" s="27"/>
      <c r="O110" s="27"/>
      <c r="P110" s="27"/>
      <c r="Q110" s="27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ht="15.75" customHeight="1">
      <c r="A111" s="14">
        <f>A108+1</f>
        <v>103</v>
      </c>
      <c r="B111" s="13" t="s">
        <v>114</v>
      </c>
      <c r="C111" s="14"/>
      <c r="D111" s="21"/>
      <c r="E111" s="15">
        <f t="shared" ref="E111:E122" si="19">F111*0.75</f>
        <v>0</v>
      </c>
      <c r="F111" s="12"/>
      <c r="G111" s="19">
        <v>410.3</v>
      </c>
      <c r="H111" s="19">
        <v>73.2</v>
      </c>
      <c r="I111" s="19">
        <v>52.91</v>
      </c>
      <c r="J111" s="20">
        <v>0.925</v>
      </c>
      <c r="K111" s="19">
        <v>15.49</v>
      </c>
      <c r="L111" s="19">
        <v>48.91</v>
      </c>
      <c r="M111" s="16">
        <f t="shared" ref="M111:M122" si="20">1.732*G111*H111*J111/1000</f>
        <v>48.11740732</v>
      </c>
      <c r="N111" s="16" t="str">
        <f t="shared" ref="N111:N122" si="21">L111/E111</f>
        <v>#DIV/0!</v>
      </c>
      <c r="O111" s="19">
        <v>16.7</v>
      </c>
      <c r="P111" s="19">
        <v>20.4</v>
      </c>
      <c r="Q111" s="19" t="s">
        <v>127</v>
      </c>
    </row>
    <row r="112" ht="15.75" customHeight="1">
      <c r="A112" s="14">
        <f t="shared" ref="A112:A121" si="22">A111+1</f>
        <v>104</v>
      </c>
      <c r="B112" s="13" t="s">
        <v>115</v>
      </c>
      <c r="C112" s="12" t="s">
        <v>21</v>
      </c>
      <c r="D112" s="29">
        <v>16.5</v>
      </c>
      <c r="E112" s="15">
        <f t="shared" si="19"/>
        <v>15</v>
      </c>
      <c r="F112" s="12">
        <v>20.0</v>
      </c>
      <c r="G112" s="19">
        <v>409.5</v>
      </c>
      <c r="H112" s="19">
        <v>2.13</v>
      </c>
      <c r="I112" s="19">
        <v>1.29</v>
      </c>
      <c r="J112" s="20">
        <v>0.943</v>
      </c>
      <c r="K112" s="19">
        <v>0.42</v>
      </c>
      <c r="L112" s="19">
        <v>1.22</v>
      </c>
      <c r="M112" s="16">
        <f t="shared" si="20"/>
        <v>1.424600492</v>
      </c>
      <c r="N112" s="16">
        <f t="shared" si="21"/>
        <v>0.08133333333</v>
      </c>
      <c r="O112" s="16"/>
      <c r="P112" s="16"/>
      <c r="Q112" s="16"/>
    </row>
    <row r="113" ht="15.75" customHeight="1">
      <c r="A113" s="14">
        <f t="shared" si="22"/>
        <v>105</v>
      </c>
      <c r="B113" s="13" t="s">
        <v>116</v>
      </c>
      <c r="C113" s="12" t="s">
        <v>21</v>
      </c>
      <c r="D113" s="29">
        <v>45.0</v>
      </c>
      <c r="E113" s="15">
        <f t="shared" si="19"/>
        <v>15</v>
      </c>
      <c r="F113" s="12">
        <v>20.0</v>
      </c>
      <c r="G113" s="19">
        <v>410.0</v>
      </c>
      <c r="H113" s="19">
        <v>12.1</v>
      </c>
      <c r="I113" s="19">
        <v>8.46</v>
      </c>
      <c r="J113" s="20">
        <v>0.981</v>
      </c>
      <c r="K113" s="19">
        <v>1.63</v>
      </c>
      <c r="L113" s="19">
        <v>8.29</v>
      </c>
      <c r="M113" s="16">
        <f t="shared" si="20"/>
        <v>8.429195412</v>
      </c>
      <c r="N113" s="16">
        <f t="shared" si="21"/>
        <v>0.5526666667</v>
      </c>
      <c r="O113" s="16"/>
      <c r="P113" s="16"/>
      <c r="Q113" s="16"/>
    </row>
    <row r="114" ht="15.75" customHeight="1">
      <c r="A114" s="14">
        <f t="shared" si="22"/>
        <v>106</v>
      </c>
      <c r="B114" s="13" t="s">
        <v>117</v>
      </c>
      <c r="C114" s="12" t="s">
        <v>21</v>
      </c>
      <c r="D114" s="29">
        <v>45.0</v>
      </c>
      <c r="E114" s="15">
        <f t="shared" si="19"/>
        <v>15</v>
      </c>
      <c r="F114" s="12">
        <v>20.0</v>
      </c>
      <c r="G114" s="19">
        <v>409.6</v>
      </c>
      <c r="H114" s="19">
        <v>8.76</v>
      </c>
      <c r="I114" s="19">
        <v>6.03</v>
      </c>
      <c r="J114" s="20">
        <v>0.984</v>
      </c>
      <c r="K114" s="19">
        <v>1.05</v>
      </c>
      <c r="L114" s="19">
        <v>5.96</v>
      </c>
      <c r="M114" s="16">
        <f t="shared" si="20"/>
        <v>6.115148956</v>
      </c>
      <c r="N114" s="16">
        <f t="shared" si="21"/>
        <v>0.3973333333</v>
      </c>
      <c r="O114" s="16"/>
      <c r="P114" s="16"/>
      <c r="Q114" s="16"/>
    </row>
    <row r="115" ht="15.75" customHeight="1">
      <c r="A115" s="14">
        <f t="shared" si="22"/>
        <v>107</v>
      </c>
      <c r="B115" s="13" t="s">
        <v>118</v>
      </c>
      <c r="C115" s="12" t="s">
        <v>21</v>
      </c>
      <c r="D115" s="29">
        <v>45.0</v>
      </c>
      <c r="E115" s="15">
        <f t="shared" si="19"/>
        <v>15</v>
      </c>
      <c r="F115" s="12">
        <v>20.0</v>
      </c>
      <c r="G115" s="19">
        <v>408.5</v>
      </c>
      <c r="H115" s="19">
        <v>8.51</v>
      </c>
      <c r="I115" s="19">
        <v>5.78</v>
      </c>
      <c r="J115" s="20">
        <v>0.969</v>
      </c>
      <c r="K115" s="19">
        <v>1.4</v>
      </c>
      <c r="L115" s="19">
        <v>5.6</v>
      </c>
      <c r="M115" s="16">
        <f t="shared" si="20"/>
        <v>5.834360841</v>
      </c>
      <c r="N115" s="16">
        <f t="shared" si="21"/>
        <v>0.3733333333</v>
      </c>
      <c r="O115" s="16"/>
      <c r="P115" s="16"/>
      <c r="Q115" s="16"/>
    </row>
    <row r="116" ht="15.75" customHeight="1">
      <c r="A116" s="14">
        <f t="shared" si="22"/>
        <v>108</v>
      </c>
      <c r="B116" s="13" t="s">
        <v>119</v>
      </c>
      <c r="C116" s="12" t="s">
        <v>21</v>
      </c>
      <c r="D116" s="29">
        <v>48.0</v>
      </c>
      <c r="E116" s="15">
        <f t="shared" si="19"/>
        <v>15</v>
      </c>
      <c r="F116" s="12">
        <v>20.0</v>
      </c>
      <c r="G116" s="19">
        <v>409.6</v>
      </c>
      <c r="H116" s="19">
        <v>10.73</v>
      </c>
      <c r="I116" s="19">
        <v>7.1</v>
      </c>
      <c r="J116" s="20">
        <v>0.972</v>
      </c>
      <c r="K116" s="19">
        <v>1.65</v>
      </c>
      <c r="L116" s="19">
        <v>6.91</v>
      </c>
      <c r="M116" s="16">
        <f t="shared" si="20"/>
        <v>7.399013548</v>
      </c>
      <c r="N116" s="16">
        <f t="shared" si="21"/>
        <v>0.4606666667</v>
      </c>
      <c r="O116" s="16"/>
      <c r="P116" s="16"/>
      <c r="Q116" s="16"/>
    </row>
    <row r="117" ht="15.75" customHeight="1">
      <c r="A117" s="14">
        <f t="shared" si="22"/>
        <v>109</v>
      </c>
      <c r="B117" s="13" t="s">
        <v>120</v>
      </c>
      <c r="C117" s="12" t="s">
        <v>21</v>
      </c>
      <c r="D117" s="29">
        <v>45.0</v>
      </c>
      <c r="E117" s="15">
        <f t="shared" si="19"/>
        <v>15</v>
      </c>
      <c r="F117" s="12">
        <v>20.0</v>
      </c>
      <c r="G117" s="19">
        <v>409.1</v>
      </c>
      <c r="H117" s="19">
        <v>9.2</v>
      </c>
      <c r="I117" s="19">
        <v>6.27</v>
      </c>
      <c r="J117" s="20">
        <v>0.972</v>
      </c>
      <c r="K117" s="19">
        <v>1.46</v>
      </c>
      <c r="L117" s="19">
        <v>6.09</v>
      </c>
      <c r="M117" s="16">
        <f t="shared" si="20"/>
        <v>6.336237675</v>
      </c>
      <c r="N117" s="16">
        <f t="shared" si="21"/>
        <v>0.406</v>
      </c>
      <c r="O117" s="16"/>
      <c r="P117" s="16"/>
      <c r="Q117" s="16"/>
    </row>
    <row r="118" ht="15.75" customHeight="1">
      <c r="A118" s="14">
        <f t="shared" si="22"/>
        <v>110</v>
      </c>
      <c r="B118" s="13" t="s">
        <v>128</v>
      </c>
      <c r="C118" s="12" t="s">
        <v>21</v>
      </c>
      <c r="D118" s="29">
        <v>48.0</v>
      </c>
      <c r="E118" s="15">
        <f t="shared" si="19"/>
        <v>15</v>
      </c>
      <c r="F118" s="12">
        <v>20.0</v>
      </c>
      <c r="G118" s="19">
        <v>409.6</v>
      </c>
      <c r="H118" s="19">
        <v>11.78</v>
      </c>
      <c r="I118" s="19">
        <v>7.72</v>
      </c>
      <c r="J118" s="20">
        <v>0.978</v>
      </c>
      <c r="K118" s="19">
        <v>1.58</v>
      </c>
      <c r="L118" s="19">
        <v>7.53</v>
      </c>
      <c r="M118" s="16">
        <f t="shared" si="20"/>
        <v>8.173197263</v>
      </c>
      <c r="N118" s="16">
        <f t="shared" si="21"/>
        <v>0.502</v>
      </c>
      <c r="O118" s="16"/>
      <c r="P118" s="16"/>
      <c r="Q118" s="16"/>
    </row>
    <row r="119" ht="15.75" customHeight="1">
      <c r="A119" s="14">
        <f t="shared" si="22"/>
        <v>111</v>
      </c>
      <c r="B119" s="13" t="s">
        <v>129</v>
      </c>
      <c r="C119" s="12" t="s">
        <v>21</v>
      </c>
      <c r="D119" s="29"/>
      <c r="E119" s="15">
        <f t="shared" si="19"/>
        <v>3.75</v>
      </c>
      <c r="F119" s="12">
        <v>5.0</v>
      </c>
      <c r="G119" s="16"/>
      <c r="H119" s="16"/>
      <c r="I119" s="16"/>
      <c r="J119" s="17"/>
      <c r="K119" s="16"/>
      <c r="L119" s="16"/>
      <c r="M119" s="16">
        <f t="shared" si="20"/>
        <v>0</v>
      </c>
      <c r="N119" s="16">
        <f t="shared" si="21"/>
        <v>0</v>
      </c>
      <c r="O119" s="16"/>
      <c r="P119" s="16"/>
      <c r="Q119" s="16"/>
    </row>
    <row r="120" ht="15.75" customHeight="1">
      <c r="A120" s="14">
        <f t="shared" si="22"/>
        <v>112</v>
      </c>
      <c r="B120" s="13" t="s">
        <v>130</v>
      </c>
      <c r="C120" s="12" t="s">
        <v>21</v>
      </c>
      <c r="D120" s="29"/>
      <c r="E120" s="15">
        <f t="shared" si="19"/>
        <v>0</v>
      </c>
      <c r="F120" s="12"/>
      <c r="G120" s="16"/>
      <c r="H120" s="16"/>
      <c r="I120" s="16"/>
      <c r="J120" s="17"/>
      <c r="K120" s="16"/>
      <c r="L120" s="16"/>
      <c r="M120" s="16">
        <f t="shared" si="20"/>
        <v>0</v>
      </c>
      <c r="N120" s="16" t="str">
        <f t="shared" si="21"/>
        <v>#DIV/0!</v>
      </c>
      <c r="O120" s="16"/>
      <c r="P120" s="16"/>
      <c r="Q120" s="16"/>
    </row>
    <row r="121" ht="15.75" customHeight="1">
      <c r="A121" s="14">
        <f t="shared" si="22"/>
        <v>113</v>
      </c>
      <c r="B121" s="13" t="s">
        <v>123</v>
      </c>
      <c r="C121" s="12" t="s">
        <v>21</v>
      </c>
      <c r="D121" s="29">
        <v>18.0</v>
      </c>
      <c r="E121" s="15">
        <f t="shared" si="19"/>
        <v>7.5</v>
      </c>
      <c r="F121" s="12">
        <v>10.0</v>
      </c>
      <c r="G121" s="19">
        <v>410.0</v>
      </c>
      <c r="H121" s="19">
        <v>3.7</v>
      </c>
      <c r="I121" s="19">
        <v>2.22</v>
      </c>
      <c r="J121" s="20">
        <v>0.974</v>
      </c>
      <c r="K121" s="19">
        <v>0.5</v>
      </c>
      <c r="L121" s="19">
        <v>2.18</v>
      </c>
      <c r="M121" s="16">
        <f t="shared" si="20"/>
        <v>2.559130456</v>
      </c>
      <c r="N121" s="16">
        <f t="shared" si="21"/>
        <v>0.2906666667</v>
      </c>
      <c r="O121" s="16"/>
      <c r="P121" s="16"/>
      <c r="Q121" s="16"/>
    </row>
    <row r="122" ht="15.75" customHeight="1">
      <c r="A122" s="14"/>
      <c r="B122" s="13" t="s">
        <v>131</v>
      </c>
      <c r="C122" s="12" t="s">
        <v>21</v>
      </c>
      <c r="D122" s="29">
        <v>45.0</v>
      </c>
      <c r="E122" s="15">
        <f t="shared" si="19"/>
        <v>3.75</v>
      </c>
      <c r="F122" s="12">
        <v>5.0</v>
      </c>
      <c r="G122" s="19">
        <v>410.2</v>
      </c>
      <c r="H122" s="19">
        <v>2.3</v>
      </c>
      <c r="I122" s="19">
        <v>1.49</v>
      </c>
      <c r="J122" s="20">
        <v>0.966</v>
      </c>
      <c r="K122" s="19">
        <v>0.38</v>
      </c>
      <c r="L122" s="19">
        <v>1.43</v>
      </c>
      <c r="M122" s="16">
        <f t="shared" si="20"/>
        <v>1.578514248</v>
      </c>
      <c r="N122" s="16">
        <f t="shared" si="21"/>
        <v>0.3813333333</v>
      </c>
      <c r="O122" s="16"/>
      <c r="P122" s="16"/>
      <c r="Q122" s="16"/>
    </row>
    <row r="123" ht="15.75" customHeight="1">
      <c r="A123" s="23" t="s">
        <v>17</v>
      </c>
      <c r="B123" s="24" t="s">
        <v>132</v>
      </c>
      <c r="C123" s="25"/>
      <c r="D123" s="30"/>
      <c r="E123" s="26"/>
      <c r="F123" s="23"/>
      <c r="G123" s="27"/>
      <c r="H123" s="27"/>
      <c r="I123" s="27"/>
      <c r="J123" s="28"/>
      <c r="K123" s="27"/>
      <c r="L123" s="27"/>
      <c r="M123" s="27"/>
      <c r="N123" s="27"/>
      <c r="O123" s="27"/>
      <c r="P123" s="27"/>
      <c r="Q123" s="27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ht="15.75" customHeight="1">
      <c r="A124" s="14">
        <f>A121+1</f>
        <v>114</v>
      </c>
      <c r="B124" s="13" t="s">
        <v>114</v>
      </c>
      <c r="C124" s="14"/>
      <c r="D124" s="21"/>
      <c r="E124" s="15">
        <f t="shared" ref="E124:E133" si="23">F124*0.75</f>
        <v>0</v>
      </c>
      <c r="F124" s="12"/>
      <c r="G124" s="19">
        <v>421.6</v>
      </c>
      <c r="H124" s="19">
        <v>44.8</v>
      </c>
      <c r="I124" s="19">
        <v>33.64</v>
      </c>
      <c r="J124" s="20">
        <v>0.897</v>
      </c>
      <c r="K124" s="19">
        <v>13.3</v>
      </c>
      <c r="L124" s="19">
        <v>30.0</v>
      </c>
      <c r="M124" s="16">
        <f t="shared" ref="M124:M133" si="24">1.732*G124*H124*J124/1000</f>
        <v>29.3439752</v>
      </c>
      <c r="N124" s="16" t="str">
        <f t="shared" ref="N124:N133" si="25">L124/E124</f>
        <v>#DIV/0!</v>
      </c>
      <c r="O124" s="19">
        <v>16.5</v>
      </c>
      <c r="P124" s="19">
        <v>28.4</v>
      </c>
      <c r="Q124" s="16"/>
    </row>
    <row r="125" ht="15.75" customHeight="1">
      <c r="A125" s="14">
        <f t="shared" ref="A125:A132" si="26">A124+1</f>
        <v>115</v>
      </c>
      <c r="B125" s="13" t="s">
        <v>115</v>
      </c>
      <c r="C125" s="12" t="s">
        <v>21</v>
      </c>
      <c r="D125" s="29">
        <v>23.96</v>
      </c>
      <c r="E125" s="15">
        <f t="shared" si="23"/>
        <v>15</v>
      </c>
      <c r="F125" s="12">
        <v>20.0</v>
      </c>
      <c r="G125" s="19">
        <v>422.3</v>
      </c>
      <c r="H125" s="19">
        <v>2.34</v>
      </c>
      <c r="I125" s="19">
        <v>1.39</v>
      </c>
      <c r="J125" s="20">
        <v>0.941</v>
      </c>
      <c r="K125" s="19">
        <v>0.46</v>
      </c>
      <c r="L125" s="19">
        <v>1.3</v>
      </c>
      <c r="M125" s="16">
        <f t="shared" si="24"/>
        <v>1.610550882</v>
      </c>
      <c r="N125" s="16">
        <f t="shared" si="25"/>
        <v>0.08666666667</v>
      </c>
      <c r="O125" s="16"/>
      <c r="P125" s="16"/>
      <c r="Q125" s="16"/>
    </row>
    <row r="126" ht="15.75" customHeight="1">
      <c r="A126" s="14">
        <f t="shared" si="26"/>
        <v>116</v>
      </c>
      <c r="B126" s="13" t="s">
        <v>116</v>
      </c>
      <c r="C126" s="12" t="s">
        <v>21</v>
      </c>
      <c r="D126" s="29">
        <v>41.66</v>
      </c>
      <c r="E126" s="15">
        <f t="shared" si="23"/>
        <v>15</v>
      </c>
      <c r="F126" s="12">
        <v>20.0</v>
      </c>
      <c r="G126" s="19">
        <v>422.0</v>
      </c>
      <c r="H126" s="19">
        <v>7.8</v>
      </c>
      <c r="I126" s="19">
        <v>5.48</v>
      </c>
      <c r="J126" s="20">
        <v>0.992</v>
      </c>
      <c r="K126" s="19">
        <v>0.66</v>
      </c>
      <c r="L126" s="19">
        <v>5.47</v>
      </c>
      <c r="M126" s="16">
        <f t="shared" si="24"/>
        <v>5.65544279</v>
      </c>
      <c r="N126" s="16">
        <f t="shared" si="25"/>
        <v>0.3646666667</v>
      </c>
      <c r="O126" s="16"/>
      <c r="P126" s="16"/>
      <c r="Q126" s="16"/>
    </row>
    <row r="127" ht="15.75" customHeight="1">
      <c r="A127" s="14">
        <f t="shared" si="26"/>
        <v>117</v>
      </c>
      <c r="B127" s="13" t="s">
        <v>117</v>
      </c>
      <c r="C127" s="12" t="s">
        <v>21</v>
      </c>
      <c r="D127" s="29">
        <v>41.66</v>
      </c>
      <c r="E127" s="15">
        <f t="shared" si="23"/>
        <v>15</v>
      </c>
      <c r="F127" s="12">
        <v>20.0</v>
      </c>
      <c r="G127" s="19">
        <v>421.4</v>
      </c>
      <c r="H127" s="19">
        <v>8.15</v>
      </c>
      <c r="I127" s="19">
        <v>5.84</v>
      </c>
      <c r="J127" s="20">
        <v>0.994</v>
      </c>
      <c r="K127" s="19">
        <v>0.64</v>
      </c>
      <c r="L127" s="19">
        <v>5.77</v>
      </c>
      <c r="M127" s="16">
        <f t="shared" si="24"/>
        <v>5.912707731</v>
      </c>
      <c r="N127" s="16">
        <f t="shared" si="25"/>
        <v>0.3846666667</v>
      </c>
      <c r="O127" s="16"/>
      <c r="P127" s="16"/>
      <c r="Q127" s="16"/>
    </row>
    <row r="128" ht="15.75" customHeight="1">
      <c r="A128" s="14">
        <f t="shared" si="26"/>
        <v>118</v>
      </c>
      <c r="B128" s="13" t="s">
        <v>118</v>
      </c>
      <c r="C128" s="12" t="s">
        <v>21</v>
      </c>
      <c r="D128" s="29">
        <v>41.66</v>
      </c>
      <c r="E128" s="15">
        <f t="shared" si="23"/>
        <v>15</v>
      </c>
      <c r="F128" s="12">
        <v>20.0</v>
      </c>
      <c r="G128" s="19">
        <v>421.8</v>
      </c>
      <c r="H128" s="19">
        <v>7.97</v>
      </c>
      <c r="I128" s="19">
        <v>5.63</v>
      </c>
      <c r="J128" s="20">
        <v>0.993</v>
      </c>
      <c r="K128" s="19">
        <v>0.64</v>
      </c>
      <c r="L128" s="19">
        <v>5.59</v>
      </c>
      <c r="M128" s="16">
        <f t="shared" si="24"/>
        <v>5.781786263</v>
      </c>
      <c r="N128" s="16">
        <f t="shared" si="25"/>
        <v>0.3726666667</v>
      </c>
      <c r="O128" s="16"/>
      <c r="P128" s="16"/>
      <c r="Q128" s="16"/>
    </row>
    <row r="129" ht="15.75" customHeight="1">
      <c r="A129" s="14">
        <f t="shared" si="26"/>
        <v>119</v>
      </c>
      <c r="B129" s="13" t="s">
        <v>119</v>
      </c>
      <c r="C129" s="12" t="s">
        <v>21</v>
      </c>
      <c r="D129" s="31">
        <v>41.66</v>
      </c>
      <c r="E129" s="15">
        <f t="shared" si="23"/>
        <v>1.5</v>
      </c>
      <c r="F129" s="12">
        <v>2.0</v>
      </c>
      <c r="G129" s="19">
        <v>422.1</v>
      </c>
      <c r="H129" s="19">
        <v>8.14</v>
      </c>
      <c r="I129" s="19">
        <v>5.67</v>
      </c>
      <c r="J129" s="20">
        <v>0.989</v>
      </c>
      <c r="K129" s="19">
        <v>0.82</v>
      </c>
      <c r="L129" s="19">
        <v>5.63</v>
      </c>
      <c r="M129" s="16">
        <f t="shared" si="24"/>
        <v>5.885507756</v>
      </c>
      <c r="N129" s="16">
        <f t="shared" si="25"/>
        <v>3.753333333</v>
      </c>
      <c r="O129" s="16"/>
      <c r="P129" s="16"/>
      <c r="Q129" s="16"/>
    </row>
    <row r="130" ht="15.75" customHeight="1">
      <c r="A130" s="14">
        <f t="shared" si="26"/>
        <v>120</v>
      </c>
      <c r="B130" s="13" t="s">
        <v>121</v>
      </c>
      <c r="C130" s="12" t="s">
        <v>21</v>
      </c>
      <c r="D130" s="29">
        <v>34.6</v>
      </c>
      <c r="E130" s="15">
        <f t="shared" si="23"/>
        <v>3.75</v>
      </c>
      <c r="F130" s="12">
        <v>5.0</v>
      </c>
      <c r="G130" s="16"/>
      <c r="H130" s="19">
        <v>1.5</v>
      </c>
      <c r="I130" s="16"/>
      <c r="J130" s="17"/>
      <c r="K130" s="16"/>
      <c r="L130" s="19">
        <v>0.55</v>
      </c>
      <c r="M130" s="16">
        <f t="shared" si="24"/>
        <v>0</v>
      </c>
      <c r="N130" s="16">
        <f t="shared" si="25"/>
        <v>0.1466666667</v>
      </c>
      <c r="O130" s="16"/>
      <c r="P130" s="16"/>
      <c r="Q130" s="16"/>
    </row>
    <row r="131" ht="15.75" customHeight="1">
      <c r="A131" s="14">
        <f t="shared" si="26"/>
        <v>121</v>
      </c>
      <c r="B131" s="13" t="s">
        <v>122</v>
      </c>
      <c r="C131" s="12" t="s">
        <v>21</v>
      </c>
      <c r="D131" s="29">
        <v>50.0</v>
      </c>
      <c r="E131" s="15">
        <f t="shared" si="23"/>
        <v>3.75</v>
      </c>
      <c r="F131" s="12">
        <v>5.0</v>
      </c>
      <c r="G131" s="19">
        <v>423.1</v>
      </c>
      <c r="H131" s="19">
        <v>2.85</v>
      </c>
      <c r="I131" s="19">
        <v>1.6</v>
      </c>
      <c r="J131" s="20">
        <v>0.994</v>
      </c>
      <c r="K131" s="19">
        <v>0.16</v>
      </c>
      <c r="L131" s="19">
        <v>1.58</v>
      </c>
      <c r="M131" s="16">
        <f t="shared" si="24"/>
        <v>2.075975183</v>
      </c>
      <c r="N131" s="16">
        <f t="shared" si="25"/>
        <v>0.4213333333</v>
      </c>
      <c r="O131" s="16"/>
      <c r="P131" s="16"/>
      <c r="Q131" s="16"/>
    </row>
    <row r="132" ht="15.75" customHeight="1">
      <c r="A132" s="14">
        <f t="shared" si="26"/>
        <v>122</v>
      </c>
      <c r="B132" s="13" t="s">
        <v>123</v>
      </c>
      <c r="C132" s="12" t="s">
        <v>21</v>
      </c>
      <c r="D132" s="29">
        <v>26.3</v>
      </c>
      <c r="E132" s="15">
        <f t="shared" si="23"/>
        <v>7.5</v>
      </c>
      <c r="F132" s="12">
        <v>10.0</v>
      </c>
      <c r="G132" s="19">
        <v>421.5</v>
      </c>
      <c r="H132" s="19">
        <v>4.66</v>
      </c>
      <c r="I132" s="19">
        <v>3.04</v>
      </c>
      <c r="J132" s="20">
        <v>0.933</v>
      </c>
      <c r="K132" s="19">
        <v>0.34</v>
      </c>
      <c r="L132" s="19">
        <v>3.02</v>
      </c>
      <c r="M132" s="16">
        <f t="shared" si="24"/>
        <v>3.174044616</v>
      </c>
      <c r="N132" s="16">
        <f t="shared" si="25"/>
        <v>0.4026666667</v>
      </c>
      <c r="O132" s="16"/>
      <c r="P132" s="16"/>
      <c r="Q132" s="16"/>
    </row>
    <row r="133" ht="15.75" customHeight="1">
      <c r="A133" s="14"/>
      <c r="B133" s="13" t="s">
        <v>133</v>
      </c>
      <c r="C133" s="12" t="s">
        <v>21</v>
      </c>
      <c r="D133" s="29">
        <v>50.0</v>
      </c>
      <c r="E133" s="15">
        <f t="shared" si="23"/>
        <v>3.75</v>
      </c>
      <c r="F133" s="12">
        <v>5.0</v>
      </c>
      <c r="G133" s="19">
        <v>424.7</v>
      </c>
      <c r="H133" s="19">
        <v>3.5</v>
      </c>
      <c r="I133" s="19">
        <v>2.25</v>
      </c>
      <c r="J133" s="20">
        <v>0.592</v>
      </c>
      <c r="K133" s="19">
        <v>1.79</v>
      </c>
      <c r="L133" s="19">
        <v>1.31</v>
      </c>
      <c r="M133" s="16">
        <f t="shared" si="24"/>
        <v>1.524122589</v>
      </c>
      <c r="N133" s="16">
        <f t="shared" si="25"/>
        <v>0.3493333333</v>
      </c>
      <c r="O133" s="16"/>
      <c r="P133" s="16"/>
      <c r="Q133" s="16"/>
    </row>
    <row r="134" ht="15.75" customHeight="1">
      <c r="A134" s="23" t="s">
        <v>17</v>
      </c>
      <c r="B134" s="24" t="s">
        <v>134</v>
      </c>
      <c r="C134" s="25"/>
      <c r="D134" s="30"/>
      <c r="E134" s="26"/>
      <c r="F134" s="23"/>
      <c r="G134" s="27"/>
      <c r="H134" s="27"/>
      <c r="I134" s="27"/>
      <c r="J134" s="28"/>
      <c r="K134" s="27"/>
      <c r="L134" s="27"/>
      <c r="M134" s="27"/>
      <c r="N134" s="27"/>
      <c r="O134" s="27"/>
      <c r="P134" s="27"/>
      <c r="Q134" s="27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ht="15.75" customHeight="1">
      <c r="A135" s="14">
        <f>A132+1</f>
        <v>123</v>
      </c>
      <c r="B135" s="13" t="s">
        <v>114</v>
      </c>
      <c r="C135" s="14"/>
      <c r="D135" s="21"/>
      <c r="E135" s="15">
        <f t="shared" ref="E135:E144" si="27">F135*0.75</f>
        <v>0</v>
      </c>
      <c r="F135" s="12"/>
      <c r="G135" s="16"/>
      <c r="H135" s="16"/>
      <c r="I135" s="16"/>
      <c r="J135" s="17"/>
      <c r="K135" s="16"/>
      <c r="L135" s="16"/>
      <c r="M135" s="16">
        <f t="shared" ref="M135:M144" si="28">1.732*G135*H135*J135/1000</f>
        <v>0</v>
      </c>
      <c r="N135" s="16" t="str">
        <f t="shared" ref="N135:N144" si="29">L135/E135</f>
        <v>#DIV/0!</v>
      </c>
      <c r="O135" s="16"/>
      <c r="P135" s="16"/>
      <c r="Q135" s="16"/>
    </row>
    <row r="136" ht="15.75" customHeight="1">
      <c r="A136" s="14">
        <f t="shared" ref="A136:A143" si="30">A135+1</f>
        <v>124</v>
      </c>
      <c r="B136" s="13" t="s">
        <v>115</v>
      </c>
      <c r="C136" s="14"/>
      <c r="D136" s="21"/>
      <c r="E136" s="15">
        <f t="shared" si="27"/>
        <v>15</v>
      </c>
      <c r="F136" s="12">
        <v>20.0</v>
      </c>
      <c r="G136" s="16"/>
      <c r="H136" s="16"/>
      <c r="I136" s="16"/>
      <c r="J136" s="17"/>
      <c r="K136" s="16"/>
      <c r="L136" s="16"/>
      <c r="M136" s="16">
        <f t="shared" si="28"/>
        <v>0</v>
      </c>
      <c r="N136" s="16">
        <f t="shared" si="29"/>
        <v>0</v>
      </c>
      <c r="O136" s="16"/>
      <c r="P136" s="16"/>
      <c r="Q136" s="16"/>
    </row>
    <row r="137" ht="15.75" customHeight="1">
      <c r="A137" s="14">
        <f t="shared" si="30"/>
        <v>125</v>
      </c>
      <c r="B137" s="13" t="s">
        <v>116</v>
      </c>
      <c r="C137" s="14"/>
      <c r="D137" s="21"/>
      <c r="E137" s="15">
        <f t="shared" si="27"/>
        <v>15</v>
      </c>
      <c r="F137" s="12">
        <v>20.0</v>
      </c>
      <c r="G137" s="16"/>
      <c r="H137" s="16"/>
      <c r="I137" s="16"/>
      <c r="J137" s="17"/>
      <c r="K137" s="16"/>
      <c r="L137" s="16"/>
      <c r="M137" s="16">
        <f t="shared" si="28"/>
        <v>0</v>
      </c>
      <c r="N137" s="16">
        <f t="shared" si="29"/>
        <v>0</v>
      </c>
      <c r="O137" s="16"/>
      <c r="P137" s="16"/>
      <c r="Q137" s="16"/>
    </row>
    <row r="138" ht="15.75" customHeight="1">
      <c r="A138" s="14">
        <f t="shared" si="30"/>
        <v>126</v>
      </c>
      <c r="B138" s="13" t="s">
        <v>117</v>
      </c>
      <c r="C138" s="14"/>
      <c r="D138" s="21"/>
      <c r="E138" s="15">
        <f t="shared" si="27"/>
        <v>15</v>
      </c>
      <c r="F138" s="12">
        <v>20.0</v>
      </c>
      <c r="G138" s="16"/>
      <c r="H138" s="16"/>
      <c r="I138" s="16"/>
      <c r="J138" s="17"/>
      <c r="K138" s="16"/>
      <c r="L138" s="16"/>
      <c r="M138" s="16">
        <f t="shared" si="28"/>
        <v>0</v>
      </c>
      <c r="N138" s="16">
        <f t="shared" si="29"/>
        <v>0</v>
      </c>
      <c r="O138" s="16"/>
      <c r="P138" s="16"/>
      <c r="Q138" s="16"/>
    </row>
    <row r="139" ht="15.75" customHeight="1">
      <c r="A139" s="14">
        <f t="shared" si="30"/>
        <v>127</v>
      </c>
      <c r="B139" s="13" t="s">
        <v>118</v>
      </c>
      <c r="C139" s="14"/>
      <c r="D139" s="21"/>
      <c r="E139" s="15">
        <f t="shared" si="27"/>
        <v>15</v>
      </c>
      <c r="F139" s="12">
        <v>20.0</v>
      </c>
      <c r="G139" s="16"/>
      <c r="H139" s="16"/>
      <c r="I139" s="16"/>
      <c r="J139" s="17"/>
      <c r="K139" s="16"/>
      <c r="L139" s="16"/>
      <c r="M139" s="16">
        <f t="shared" si="28"/>
        <v>0</v>
      </c>
      <c r="N139" s="16">
        <f t="shared" si="29"/>
        <v>0</v>
      </c>
      <c r="O139" s="16"/>
      <c r="P139" s="16"/>
      <c r="Q139" s="16"/>
    </row>
    <row r="140" ht="15.75" customHeight="1">
      <c r="A140" s="14">
        <f t="shared" si="30"/>
        <v>128</v>
      </c>
      <c r="B140" s="13" t="s">
        <v>119</v>
      </c>
      <c r="C140" s="14"/>
      <c r="D140" s="21"/>
      <c r="E140" s="15">
        <f t="shared" si="27"/>
        <v>15</v>
      </c>
      <c r="F140" s="12">
        <v>20.0</v>
      </c>
      <c r="G140" s="16"/>
      <c r="H140" s="16"/>
      <c r="I140" s="16"/>
      <c r="J140" s="17"/>
      <c r="K140" s="16"/>
      <c r="L140" s="16"/>
      <c r="M140" s="16">
        <f t="shared" si="28"/>
        <v>0</v>
      </c>
      <c r="N140" s="16">
        <f t="shared" si="29"/>
        <v>0</v>
      </c>
      <c r="O140" s="16"/>
      <c r="P140" s="16"/>
      <c r="Q140" s="16"/>
    </row>
    <row r="141" ht="15.75" customHeight="1">
      <c r="A141" s="14">
        <f t="shared" si="30"/>
        <v>129</v>
      </c>
      <c r="B141" s="13" t="s">
        <v>121</v>
      </c>
      <c r="C141" s="14"/>
      <c r="D141" s="21"/>
      <c r="E141" s="15">
        <f t="shared" si="27"/>
        <v>3.75</v>
      </c>
      <c r="F141" s="12">
        <v>5.0</v>
      </c>
      <c r="G141" s="16"/>
      <c r="H141" s="16"/>
      <c r="I141" s="16"/>
      <c r="J141" s="17"/>
      <c r="K141" s="16"/>
      <c r="L141" s="16"/>
      <c r="M141" s="16">
        <f t="shared" si="28"/>
        <v>0</v>
      </c>
      <c r="N141" s="16">
        <f t="shared" si="29"/>
        <v>0</v>
      </c>
      <c r="O141" s="16"/>
      <c r="P141" s="16"/>
      <c r="Q141" s="16"/>
    </row>
    <row r="142" ht="15.75" customHeight="1">
      <c r="A142" s="14">
        <f t="shared" si="30"/>
        <v>130</v>
      </c>
      <c r="B142" s="13" t="s">
        <v>122</v>
      </c>
      <c r="C142" s="14"/>
      <c r="D142" s="21"/>
      <c r="E142" s="15">
        <f t="shared" si="27"/>
        <v>3.75</v>
      </c>
      <c r="F142" s="12">
        <v>5.0</v>
      </c>
      <c r="G142" s="16"/>
      <c r="H142" s="16"/>
      <c r="I142" s="16"/>
      <c r="J142" s="17"/>
      <c r="K142" s="16"/>
      <c r="L142" s="16"/>
      <c r="M142" s="16">
        <f t="shared" si="28"/>
        <v>0</v>
      </c>
      <c r="N142" s="16">
        <f t="shared" si="29"/>
        <v>0</v>
      </c>
      <c r="O142" s="16"/>
      <c r="P142" s="16"/>
      <c r="Q142" s="16"/>
    </row>
    <row r="143" ht="15.75" customHeight="1">
      <c r="A143" s="14">
        <f t="shared" si="30"/>
        <v>131</v>
      </c>
      <c r="B143" s="13" t="s">
        <v>123</v>
      </c>
      <c r="C143" s="14"/>
      <c r="D143" s="21"/>
      <c r="E143" s="15">
        <f t="shared" si="27"/>
        <v>7.5</v>
      </c>
      <c r="F143" s="12">
        <v>10.0</v>
      </c>
      <c r="G143" s="16"/>
      <c r="H143" s="16"/>
      <c r="I143" s="16"/>
      <c r="J143" s="17"/>
      <c r="K143" s="16"/>
      <c r="L143" s="16"/>
      <c r="M143" s="16">
        <f t="shared" si="28"/>
        <v>0</v>
      </c>
      <c r="N143" s="16">
        <f t="shared" si="29"/>
        <v>0</v>
      </c>
      <c r="O143" s="16"/>
      <c r="P143" s="16"/>
      <c r="Q143" s="16"/>
    </row>
    <row r="144" ht="15.75" customHeight="1">
      <c r="A144" s="14"/>
      <c r="B144" s="13"/>
      <c r="C144" s="14"/>
      <c r="D144" s="21"/>
      <c r="E144" s="15">
        <f t="shared" si="27"/>
        <v>0</v>
      </c>
      <c r="F144" s="12"/>
      <c r="G144" s="16"/>
      <c r="H144" s="16"/>
      <c r="I144" s="16"/>
      <c r="J144" s="17"/>
      <c r="K144" s="16"/>
      <c r="L144" s="16"/>
      <c r="M144" s="16">
        <f t="shared" si="28"/>
        <v>0</v>
      </c>
      <c r="N144" s="16" t="str">
        <f t="shared" si="29"/>
        <v>#DIV/0!</v>
      </c>
      <c r="O144" s="16"/>
      <c r="P144" s="16"/>
      <c r="Q144" s="16"/>
    </row>
    <row r="145" ht="15.75" customHeight="1">
      <c r="A145" s="23" t="s">
        <v>17</v>
      </c>
      <c r="B145" s="24" t="s">
        <v>135</v>
      </c>
      <c r="C145" s="25"/>
      <c r="D145" s="30"/>
      <c r="E145" s="26"/>
      <c r="F145" s="23"/>
      <c r="G145" s="27"/>
      <c r="H145" s="27"/>
      <c r="I145" s="27"/>
      <c r="J145" s="28"/>
      <c r="K145" s="27"/>
      <c r="L145" s="27"/>
      <c r="M145" s="27"/>
      <c r="N145" s="27"/>
      <c r="O145" s="27"/>
      <c r="P145" s="27"/>
      <c r="Q145" s="27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ht="15.75" customHeight="1">
      <c r="A146" s="14">
        <f>A143+1</f>
        <v>132</v>
      </c>
      <c r="B146" s="13" t="s">
        <v>114</v>
      </c>
      <c r="C146" s="14"/>
      <c r="D146" s="21"/>
      <c r="E146" s="15">
        <f t="shared" ref="E146:E205" si="31">F146*0.75</f>
        <v>0</v>
      </c>
      <c r="F146" s="12"/>
      <c r="G146" s="19">
        <v>409.0</v>
      </c>
      <c r="H146" s="19">
        <v>75.8</v>
      </c>
      <c r="I146" s="19">
        <v>55.33</v>
      </c>
      <c r="J146" s="20">
        <v>0.937</v>
      </c>
      <c r="K146" s="19">
        <v>18.26</v>
      </c>
      <c r="L146" s="19">
        <v>51.98</v>
      </c>
      <c r="M146" s="16">
        <f t="shared" ref="M146:M325" si="32">1.732*G146*H146*J146/1000</f>
        <v>50.31297434</v>
      </c>
      <c r="N146" s="16" t="str">
        <f t="shared" ref="N146:N325" si="33">L146/E146</f>
        <v>#DIV/0!</v>
      </c>
      <c r="O146" s="19">
        <v>14.8</v>
      </c>
      <c r="P146" s="19">
        <v>22.2</v>
      </c>
      <c r="Q146" s="16"/>
    </row>
    <row r="147" ht="15.75" customHeight="1">
      <c r="A147" s="14">
        <f t="shared" ref="A147:A154" si="34">A146+1</f>
        <v>133</v>
      </c>
      <c r="B147" s="13" t="s">
        <v>123</v>
      </c>
      <c r="C147" s="12" t="s">
        <v>21</v>
      </c>
      <c r="D147" s="29">
        <v>13.23</v>
      </c>
      <c r="E147" s="15">
        <f t="shared" si="31"/>
        <v>7.5</v>
      </c>
      <c r="F147" s="12">
        <v>10.0</v>
      </c>
      <c r="G147" s="19">
        <v>408.3</v>
      </c>
      <c r="H147" s="19">
        <v>1.62</v>
      </c>
      <c r="I147" s="19">
        <v>0.93</v>
      </c>
      <c r="J147" s="20">
        <v>0.999</v>
      </c>
      <c r="K147" s="19">
        <v>0.03</v>
      </c>
      <c r="L147" s="19">
        <v>0.92</v>
      </c>
      <c r="M147" s="16">
        <f t="shared" si="32"/>
        <v>1.144478848</v>
      </c>
      <c r="N147" s="16">
        <f t="shared" si="33"/>
        <v>0.1226666667</v>
      </c>
      <c r="O147" s="16"/>
      <c r="P147" s="16"/>
      <c r="Q147" s="16"/>
    </row>
    <row r="148" ht="15.75" customHeight="1">
      <c r="A148" s="14">
        <f t="shared" si="34"/>
        <v>134</v>
      </c>
      <c r="B148" s="13" t="s">
        <v>116</v>
      </c>
      <c r="C148" s="12" t="s">
        <v>21</v>
      </c>
      <c r="D148" s="29">
        <v>16.0</v>
      </c>
      <c r="E148" s="15">
        <f t="shared" si="31"/>
        <v>15</v>
      </c>
      <c r="F148" s="12">
        <v>20.0</v>
      </c>
      <c r="G148" s="19">
        <v>407.8</v>
      </c>
      <c r="H148" s="19">
        <v>2.79</v>
      </c>
      <c r="I148" s="19">
        <v>1.9</v>
      </c>
      <c r="J148" s="20">
        <v>0.987</v>
      </c>
      <c r="K148" s="19">
        <v>1.07</v>
      </c>
      <c r="L148" s="19">
        <v>1.83</v>
      </c>
      <c r="M148" s="16">
        <f t="shared" si="32"/>
        <v>1.944985935</v>
      </c>
      <c r="N148" s="16">
        <f t="shared" si="33"/>
        <v>0.122</v>
      </c>
      <c r="O148" s="16"/>
      <c r="P148" s="16"/>
      <c r="Q148" s="16"/>
    </row>
    <row r="149" ht="15.75" customHeight="1">
      <c r="A149" s="14">
        <f t="shared" si="34"/>
        <v>135</v>
      </c>
      <c r="B149" s="13" t="s">
        <v>117</v>
      </c>
      <c r="C149" s="12" t="s">
        <v>21</v>
      </c>
      <c r="D149" s="29">
        <v>48.0</v>
      </c>
      <c r="E149" s="15">
        <f t="shared" si="31"/>
        <v>15</v>
      </c>
      <c r="F149" s="12">
        <v>20.0</v>
      </c>
      <c r="G149" s="19">
        <v>407.6</v>
      </c>
      <c r="H149" s="19">
        <v>11.41</v>
      </c>
      <c r="I149" s="19">
        <v>7.84</v>
      </c>
      <c r="J149" s="20">
        <v>0.992</v>
      </c>
      <c r="K149" s="19">
        <v>0.099</v>
      </c>
      <c r="L149" s="19">
        <v>7.79</v>
      </c>
      <c r="M149" s="16">
        <f t="shared" si="32"/>
        <v>7.990599791</v>
      </c>
      <c r="N149" s="16">
        <f t="shared" si="33"/>
        <v>0.5193333333</v>
      </c>
      <c r="O149" s="16"/>
      <c r="P149" s="16"/>
      <c r="Q149" s="16"/>
    </row>
    <row r="150" ht="15.75" customHeight="1">
      <c r="A150" s="14">
        <f t="shared" si="34"/>
        <v>136</v>
      </c>
      <c r="B150" s="13" t="s">
        <v>118</v>
      </c>
      <c r="C150" s="12" t="s">
        <v>21</v>
      </c>
      <c r="D150" s="29">
        <v>48.0</v>
      </c>
      <c r="E150" s="15">
        <f t="shared" si="31"/>
        <v>15</v>
      </c>
      <c r="F150" s="12">
        <v>20.0</v>
      </c>
      <c r="G150" s="19">
        <v>408.3</v>
      </c>
      <c r="H150" s="19">
        <v>11.3</v>
      </c>
      <c r="I150" s="19">
        <v>7.62</v>
      </c>
      <c r="J150" s="20">
        <v>0.998</v>
      </c>
      <c r="K150" s="19">
        <v>0.45</v>
      </c>
      <c r="L150" s="19">
        <v>7.61</v>
      </c>
      <c r="M150" s="16">
        <f t="shared" si="32"/>
        <v>7.975102111</v>
      </c>
      <c r="N150" s="16">
        <f t="shared" si="33"/>
        <v>0.5073333333</v>
      </c>
      <c r="O150" s="16"/>
      <c r="P150" s="16"/>
      <c r="Q150" s="16"/>
    </row>
    <row r="151" ht="15.75" customHeight="1">
      <c r="A151" s="14">
        <f t="shared" si="34"/>
        <v>137</v>
      </c>
      <c r="B151" s="13" t="s">
        <v>119</v>
      </c>
      <c r="C151" s="12" t="s">
        <v>21</v>
      </c>
      <c r="D151" s="29">
        <v>43.5</v>
      </c>
      <c r="E151" s="15">
        <f t="shared" si="31"/>
        <v>15</v>
      </c>
      <c r="F151" s="12">
        <v>20.0</v>
      </c>
      <c r="G151" s="19">
        <v>409.1</v>
      </c>
      <c r="H151" s="19">
        <v>8.12</v>
      </c>
      <c r="I151" s="19">
        <v>5.58</v>
      </c>
      <c r="J151" s="20">
        <v>0.991</v>
      </c>
      <c r="K151" s="19">
        <v>0.73</v>
      </c>
      <c r="L151" s="19">
        <v>5.53</v>
      </c>
      <c r="M151" s="16">
        <f t="shared" si="32"/>
        <v>5.701735292</v>
      </c>
      <c r="N151" s="16">
        <f t="shared" si="33"/>
        <v>0.3686666667</v>
      </c>
      <c r="O151" s="16"/>
      <c r="P151" s="16"/>
      <c r="Q151" s="16"/>
    </row>
    <row r="152" ht="15.75" customHeight="1">
      <c r="A152" s="14">
        <f t="shared" si="34"/>
        <v>138</v>
      </c>
      <c r="B152" s="13" t="s">
        <v>120</v>
      </c>
      <c r="C152" s="12" t="s">
        <v>21</v>
      </c>
      <c r="D152" s="29">
        <v>46.0</v>
      </c>
      <c r="E152" s="15">
        <f t="shared" si="31"/>
        <v>15</v>
      </c>
      <c r="F152" s="12">
        <v>20.0</v>
      </c>
      <c r="G152" s="19">
        <v>410.0</v>
      </c>
      <c r="H152" s="19">
        <v>9.88</v>
      </c>
      <c r="I152" s="19">
        <v>6.76</v>
      </c>
      <c r="J152" s="20">
        <v>0.994</v>
      </c>
      <c r="K152" s="19">
        <v>0.68</v>
      </c>
      <c r="L152" s="19">
        <v>6.74</v>
      </c>
      <c r="M152" s="16">
        <f t="shared" si="32"/>
        <v>6.973889686</v>
      </c>
      <c r="N152" s="16">
        <f t="shared" si="33"/>
        <v>0.4493333333</v>
      </c>
      <c r="O152" s="16"/>
      <c r="P152" s="16"/>
      <c r="Q152" s="16"/>
    </row>
    <row r="153" ht="15.75" customHeight="1">
      <c r="A153" s="14">
        <f t="shared" si="34"/>
        <v>139</v>
      </c>
      <c r="B153" s="13" t="s">
        <v>128</v>
      </c>
      <c r="C153" s="12" t="s">
        <v>21</v>
      </c>
      <c r="D153" s="29">
        <v>44.5</v>
      </c>
      <c r="E153" s="15">
        <f t="shared" si="31"/>
        <v>15</v>
      </c>
      <c r="F153" s="12">
        <v>20.0</v>
      </c>
      <c r="G153" s="19">
        <v>409.7</v>
      </c>
      <c r="H153" s="19">
        <v>9.25</v>
      </c>
      <c r="I153" s="19">
        <v>6.31</v>
      </c>
      <c r="J153" s="20">
        <v>0.996</v>
      </c>
      <c r="K153" s="19">
        <v>0.48</v>
      </c>
      <c r="L153" s="19">
        <v>6.28</v>
      </c>
      <c r="M153" s="16">
        <f t="shared" si="32"/>
        <v>6.537548485</v>
      </c>
      <c r="N153" s="16">
        <f t="shared" si="33"/>
        <v>0.4186666667</v>
      </c>
      <c r="O153" s="16"/>
      <c r="P153" s="16"/>
      <c r="Q153" s="16"/>
    </row>
    <row r="154" ht="15.75" customHeight="1">
      <c r="A154" s="14">
        <f t="shared" si="34"/>
        <v>140</v>
      </c>
      <c r="B154" s="13" t="s">
        <v>136</v>
      </c>
      <c r="C154" s="12" t="s">
        <v>21</v>
      </c>
      <c r="D154" s="29">
        <v>43.5</v>
      </c>
      <c r="E154" s="15">
        <f t="shared" si="31"/>
        <v>15</v>
      </c>
      <c r="F154" s="12">
        <v>20.0</v>
      </c>
      <c r="G154" s="19">
        <v>409.7</v>
      </c>
      <c r="H154" s="19">
        <v>8.41</v>
      </c>
      <c r="I154" s="19">
        <v>5.72</v>
      </c>
      <c r="J154" s="20">
        <v>0.996</v>
      </c>
      <c r="K154" s="19">
        <v>0.48</v>
      </c>
      <c r="L154" s="19">
        <v>5.7</v>
      </c>
      <c r="M154" s="16">
        <f t="shared" si="32"/>
        <v>5.943868407</v>
      </c>
      <c r="N154" s="16">
        <f t="shared" si="33"/>
        <v>0.38</v>
      </c>
      <c r="O154" s="16"/>
      <c r="P154" s="16"/>
      <c r="Q154" s="16"/>
    </row>
    <row r="155" ht="15.75" customHeight="1">
      <c r="A155" s="14">
        <f>A153+1</f>
        <v>140</v>
      </c>
      <c r="B155" s="13" t="s">
        <v>121</v>
      </c>
      <c r="C155" s="12" t="s">
        <v>21</v>
      </c>
      <c r="D155" s="29">
        <v>25.0</v>
      </c>
      <c r="E155" s="15">
        <f t="shared" si="31"/>
        <v>3.75</v>
      </c>
      <c r="F155" s="12">
        <v>5.0</v>
      </c>
      <c r="G155" s="19">
        <v>410.0</v>
      </c>
      <c r="H155" s="19">
        <v>1.09</v>
      </c>
      <c r="I155" s="19">
        <v>0.7</v>
      </c>
      <c r="J155" s="20">
        <v>0.983</v>
      </c>
      <c r="K155" s="19">
        <v>0.12</v>
      </c>
      <c r="L155" s="19">
        <v>0.69</v>
      </c>
      <c r="M155" s="16">
        <f t="shared" si="32"/>
        <v>0.7608722764</v>
      </c>
      <c r="N155" s="16">
        <f t="shared" si="33"/>
        <v>0.184</v>
      </c>
      <c r="O155" s="16"/>
      <c r="P155" s="16"/>
      <c r="Q155" s="16"/>
    </row>
    <row r="156">
      <c r="A156" s="23" t="s">
        <v>17</v>
      </c>
      <c r="B156" s="24" t="s">
        <v>137</v>
      </c>
      <c r="C156" s="25"/>
      <c r="D156" s="30"/>
      <c r="E156" s="26">
        <f t="shared" si="31"/>
        <v>0</v>
      </c>
      <c r="F156" s="23"/>
      <c r="G156" s="27"/>
      <c r="H156" s="27"/>
      <c r="I156" s="27"/>
      <c r="J156" s="28"/>
      <c r="K156" s="27"/>
      <c r="L156" s="27"/>
      <c r="M156" s="27">
        <f t="shared" si="32"/>
        <v>0</v>
      </c>
      <c r="N156" s="27" t="str">
        <f t="shared" si="33"/>
        <v>#DIV/0!</v>
      </c>
      <c r="O156" s="27"/>
      <c r="P156" s="27"/>
      <c r="Q156" s="27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>
      <c r="A157" s="14">
        <f>A155+1</f>
        <v>141</v>
      </c>
      <c r="B157" s="13" t="s">
        <v>122</v>
      </c>
      <c r="C157" s="12" t="s">
        <v>21</v>
      </c>
      <c r="D157" s="29">
        <v>40.0</v>
      </c>
      <c r="E157" s="15">
        <f t="shared" si="31"/>
        <v>3.75</v>
      </c>
      <c r="F157" s="12">
        <v>5.0</v>
      </c>
      <c r="G157" s="19">
        <v>409.8</v>
      </c>
      <c r="H157" s="19">
        <v>1.91</v>
      </c>
      <c r="I157" s="19">
        <v>1.24</v>
      </c>
      <c r="J157" s="20">
        <v>0.99</v>
      </c>
      <c r="K157" s="19">
        <v>0.16</v>
      </c>
      <c r="L157" s="19">
        <v>1.23</v>
      </c>
      <c r="M157" s="16">
        <f t="shared" si="32"/>
        <v>1.3421109</v>
      </c>
      <c r="N157" s="16">
        <f t="shared" si="33"/>
        <v>0.328</v>
      </c>
      <c r="O157" s="16"/>
      <c r="P157" s="16"/>
      <c r="Q157" s="16"/>
    </row>
    <row r="158">
      <c r="A158" s="14">
        <f t="shared" ref="A158:A159" si="35">A157+1</f>
        <v>142</v>
      </c>
      <c r="B158" s="13" t="s">
        <v>116</v>
      </c>
      <c r="C158" s="12" t="s">
        <v>21</v>
      </c>
      <c r="D158" s="29">
        <v>45.0</v>
      </c>
      <c r="E158" s="15">
        <f t="shared" si="31"/>
        <v>15</v>
      </c>
      <c r="F158" s="12">
        <v>20.0</v>
      </c>
      <c r="G158" s="19">
        <v>410.0</v>
      </c>
      <c r="H158" s="19">
        <v>9.63</v>
      </c>
      <c r="I158" s="19">
        <v>6.43</v>
      </c>
      <c r="J158" s="20">
        <v>0.993</v>
      </c>
      <c r="K158" s="19">
        <v>0.71</v>
      </c>
      <c r="L158" s="19">
        <v>6.38</v>
      </c>
      <c r="M158" s="16">
        <f t="shared" si="32"/>
        <v>6.790586411</v>
      </c>
      <c r="N158" s="16">
        <f t="shared" si="33"/>
        <v>0.4253333333</v>
      </c>
      <c r="O158" s="16"/>
      <c r="P158" s="16"/>
      <c r="Q158" s="16"/>
    </row>
    <row r="159" ht="15.75" customHeight="1">
      <c r="A159" s="14">
        <f t="shared" si="35"/>
        <v>143</v>
      </c>
      <c r="B159" s="18"/>
      <c r="C159" s="14"/>
      <c r="D159" s="21"/>
      <c r="E159" s="15">
        <f t="shared" si="31"/>
        <v>0</v>
      </c>
      <c r="F159" s="12"/>
      <c r="G159" s="16"/>
      <c r="H159" s="16"/>
      <c r="I159" s="16"/>
      <c r="J159" s="17"/>
      <c r="K159" s="16"/>
      <c r="L159" s="16"/>
      <c r="M159" s="16">
        <f t="shared" si="32"/>
        <v>0</v>
      </c>
      <c r="N159" s="16" t="str">
        <f t="shared" si="33"/>
        <v>#DIV/0!</v>
      </c>
      <c r="O159" s="16"/>
      <c r="P159" s="16"/>
      <c r="Q159" s="16"/>
    </row>
    <row r="160" ht="15.75" customHeight="1">
      <c r="A160" s="14">
        <f>A159+1</f>
        <v>144</v>
      </c>
      <c r="B160" s="13" t="s">
        <v>138</v>
      </c>
      <c r="C160" s="12" t="s">
        <v>21</v>
      </c>
      <c r="D160" s="29">
        <v>30.0</v>
      </c>
      <c r="E160" s="15">
        <f t="shared" si="31"/>
        <v>15</v>
      </c>
      <c r="F160" s="12">
        <v>20.0</v>
      </c>
      <c r="G160" s="19">
        <v>404.6</v>
      </c>
      <c r="H160" s="19">
        <v>4.64</v>
      </c>
      <c r="I160" s="19">
        <v>3.09</v>
      </c>
      <c r="J160" s="20">
        <v>0.99</v>
      </c>
      <c r="K160" s="19">
        <v>0.43</v>
      </c>
      <c r="L160" s="19">
        <v>3.09</v>
      </c>
      <c r="M160" s="16">
        <f t="shared" si="32"/>
        <v>3.21904421</v>
      </c>
      <c r="N160" s="16">
        <f t="shared" si="33"/>
        <v>0.206</v>
      </c>
      <c r="O160" s="16"/>
      <c r="P160" s="16"/>
      <c r="Q160" s="16"/>
    </row>
    <row r="161" ht="15.75" customHeight="1">
      <c r="A161" s="14">
        <f t="shared" ref="A161:A164" si="36">A160+1</f>
        <v>145</v>
      </c>
      <c r="B161" s="13" t="s">
        <v>139</v>
      </c>
      <c r="C161" s="14"/>
      <c r="D161" s="21"/>
      <c r="E161" s="15">
        <f t="shared" si="31"/>
        <v>15</v>
      </c>
      <c r="F161" s="12">
        <v>20.0</v>
      </c>
      <c r="G161" s="16"/>
      <c r="H161" s="16"/>
      <c r="I161" s="16"/>
      <c r="J161" s="17"/>
      <c r="K161" s="16"/>
      <c r="L161" s="16"/>
      <c r="M161" s="16">
        <f t="shared" si="32"/>
        <v>0</v>
      </c>
      <c r="N161" s="16">
        <f t="shared" si="33"/>
        <v>0</v>
      </c>
      <c r="O161" s="16"/>
      <c r="P161" s="16"/>
      <c r="Q161" s="16"/>
    </row>
    <row r="162" ht="15.75" customHeight="1">
      <c r="A162" s="14">
        <f t="shared" si="36"/>
        <v>146</v>
      </c>
      <c r="B162" s="13" t="s">
        <v>140</v>
      </c>
      <c r="C162" s="14"/>
      <c r="D162" s="21"/>
      <c r="E162" s="15">
        <f t="shared" si="31"/>
        <v>15</v>
      </c>
      <c r="F162" s="12">
        <v>20.0</v>
      </c>
      <c r="G162" s="16"/>
      <c r="H162" s="16"/>
      <c r="I162" s="16"/>
      <c r="J162" s="17"/>
      <c r="K162" s="16"/>
      <c r="L162" s="16"/>
      <c r="M162" s="16">
        <f t="shared" si="32"/>
        <v>0</v>
      </c>
      <c r="N162" s="16">
        <f t="shared" si="33"/>
        <v>0</v>
      </c>
      <c r="O162" s="16"/>
      <c r="P162" s="16"/>
      <c r="Q162" s="16"/>
    </row>
    <row r="163" ht="15.75" customHeight="1">
      <c r="A163" s="14">
        <f t="shared" si="36"/>
        <v>147</v>
      </c>
      <c r="B163" s="13" t="s">
        <v>141</v>
      </c>
      <c r="C163" s="14"/>
      <c r="D163" s="21"/>
      <c r="E163" s="15">
        <f t="shared" si="31"/>
        <v>15</v>
      </c>
      <c r="F163" s="12">
        <v>20.0</v>
      </c>
      <c r="G163" s="16"/>
      <c r="H163" s="16"/>
      <c r="I163" s="16"/>
      <c r="J163" s="17"/>
      <c r="K163" s="16"/>
      <c r="L163" s="16"/>
      <c r="M163" s="16">
        <f t="shared" si="32"/>
        <v>0</v>
      </c>
      <c r="N163" s="16">
        <f t="shared" si="33"/>
        <v>0</v>
      </c>
      <c r="O163" s="16"/>
      <c r="P163" s="16"/>
      <c r="Q163" s="16"/>
    </row>
    <row r="164" ht="15.75" customHeight="1">
      <c r="A164" s="14">
        <f t="shared" si="36"/>
        <v>148</v>
      </c>
      <c r="B164" s="13" t="s">
        <v>142</v>
      </c>
      <c r="C164" s="14"/>
      <c r="D164" s="21"/>
      <c r="E164" s="15">
        <f t="shared" si="31"/>
        <v>15</v>
      </c>
      <c r="F164" s="12">
        <v>20.0</v>
      </c>
      <c r="G164" s="16"/>
      <c r="H164" s="16"/>
      <c r="I164" s="16"/>
      <c r="J164" s="17"/>
      <c r="K164" s="16"/>
      <c r="L164" s="16"/>
      <c r="M164" s="16">
        <f t="shared" si="32"/>
        <v>0</v>
      </c>
      <c r="N164" s="16">
        <f t="shared" si="33"/>
        <v>0</v>
      </c>
      <c r="O164" s="16"/>
      <c r="P164" s="16"/>
      <c r="Q164" s="16"/>
    </row>
    <row r="165" ht="15.75" customHeight="1">
      <c r="A165" s="23" t="s">
        <v>17</v>
      </c>
      <c r="B165" s="24" t="s">
        <v>143</v>
      </c>
      <c r="C165" s="25"/>
      <c r="D165" s="30"/>
      <c r="E165" s="26">
        <f t="shared" si="31"/>
        <v>0</v>
      </c>
      <c r="F165" s="23"/>
      <c r="G165" s="27"/>
      <c r="H165" s="27"/>
      <c r="I165" s="27"/>
      <c r="J165" s="28"/>
      <c r="K165" s="27"/>
      <c r="L165" s="27"/>
      <c r="M165" s="27">
        <f t="shared" si="32"/>
        <v>0</v>
      </c>
      <c r="N165" s="27" t="str">
        <f t="shared" si="33"/>
        <v>#DIV/0!</v>
      </c>
      <c r="O165" s="27"/>
      <c r="P165" s="27"/>
      <c r="Q165" s="27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ht="15.75" customHeight="1">
      <c r="A166" s="14">
        <f>A164+1</f>
        <v>149</v>
      </c>
      <c r="B166" s="13" t="s">
        <v>144</v>
      </c>
      <c r="C166" s="12" t="s">
        <v>21</v>
      </c>
      <c r="D166" s="29">
        <v>22.8</v>
      </c>
      <c r="E166" s="15">
        <f t="shared" si="31"/>
        <v>7.5</v>
      </c>
      <c r="F166" s="12">
        <v>10.0</v>
      </c>
      <c r="G166" s="19">
        <v>409.7</v>
      </c>
      <c r="H166" s="19">
        <v>4.65</v>
      </c>
      <c r="I166" s="19">
        <v>5.72</v>
      </c>
      <c r="J166" s="20">
        <v>0.904</v>
      </c>
      <c r="K166" s="19">
        <v>1.6</v>
      </c>
      <c r="L166" s="19">
        <v>5.18</v>
      </c>
      <c r="M166" s="16">
        <f t="shared" si="32"/>
        <v>2.982876241</v>
      </c>
      <c r="N166" s="16">
        <f t="shared" si="33"/>
        <v>0.6906666667</v>
      </c>
      <c r="O166" s="16"/>
      <c r="P166" s="16"/>
      <c r="Q166" s="16"/>
    </row>
    <row r="167" ht="15.75" customHeight="1">
      <c r="A167" s="14">
        <f>A166+1</f>
        <v>150</v>
      </c>
      <c r="B167" s="13" t="s">
        <v>145</v>
      </c>
      <c r="C167" s="14"/>
      <c r="D167" s="21"/>
      <c r="E167" s="15">
        <f t="shared" si="31"/>
        <v>7.5</v>
      </c>
      <c r="F167" s="12">
        <v>10.0</v>
      </c>
      <c r="G167" s="16"/>
      <c r="H167" s="16"/>
      <c r="I167" s="16"/>
      <c r="J167" s="17"/>
      <c r="K167" s="16"/>
      <c r="L167" s="16"/>
      <c r="M167" s="16">
        <f t="shared" si="32"/>
        <v>0</v>
      </c>
      <c r="N167" s="16">
        <f t="shared" si="33"/>
        <v>0</v>
      </c>
      <c r="O167" s="16"/>
      <c r="P167" s="16"/>
      <c r="Q167" s="16"/>
    </row>
    <row r="168" ht="15.75" customHeight="1">
      <c r="A168" s="23" t="s">
        <v>17</v>
      </c>
      <c r="B168" s="24" t="s">
        <v>146</v>
      </c>
      <c r="C168" s="25"/>
      <c r="D168" s="30"/>
      <c r="E168" s="26">
        <f t="shared" si="31"/>
        <v>0</v>
      </c>
      <c r="F168" s="23"/>
      <c r="G168" s="27"/>
      <c r="H168" s="27"/>
      <c r="I168" s="27"/>
      <c r="J168" s="28"/>
      <c r="K168" s="27"/>
      <c r="L168" s="27"/>
      <c r="M168" s="27">
        <f t="shared" si="32"/>
        <v>0</v>
      </c>
      <c r="N168" s="27" t="str">
        <f t="shared" si="33"/>
        <v>#DIV/0!</v>
      </c>
      <c r="O168" s="27"/>
      <c r="P168" s="27"/>
      <c r="Q168" s="27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ht="15.75" customHeight="1">
      <c r="A169" s="14">
        <f>A167+1</f>
        <v>151</v>
      </c>
      <c r="B169" s="13" t="s">
        <v>147</v>
      </c>
      <c r="C169" s="12" t="s">
        <v>21</v>
      </c>
      <c r="D169" s="21"/>
      <c r="E169" s="15">
        <f t="shared" si="31"/>
        <v>15</v>
      </c>
      <c r="F169" s="12">
        <v>20.0</v>
      </c>
      <c r="G169" s="19">
        <v>402.8</v>
      </c>
      <c r="H169" s="19">
        <v>7.97</v>
      </c>
      <c r="I169" s="19">
        <v>5.45</v>
      </c>
      <c r="J169" s="20">
        <v>0.988</v>
      </c>
      <c r="K169" s="19">
        <v>0.82</v>
      </c>
      <c r="L169" s="19">
        <v>5.39</v>
      </c>
      <c r="M169" s="16">
        <f t="shared" si="32"/>
        <v>5.493544104</v>
      </c>
      <c r="N169" s="16">
        <f t="shared" si="33"/>
        <v>0.3593333333</v>
      </c>
      <c r="O169" s="16"/>
      <c r="P169" s="16"/>
      <c r="Q169" s="16"/>
    </row>
    <row r="170" ht="15.75" customHeight="1">
      <c r="A170" s="14">
        <f t="shared" ref="A170:A176" si="37">A169+1</f>
        <v>152</v>
      </c>
      <c r="B170" s="13" t="s">
        <v>148</v>
      </c>
      <c r="C170" s="12" t="s">
        <v>21</v>
      </c>
      <c r="D170" s="21"/>
      <c r="E170" s="15">
        <f t="shared" si="31"/>
        <v>15</v>
      </c>
      <c r="F170" s="12">
        <v>20.0</v>
      </c>
      <c r="G170" s="16"/>
      <c r="H170" s="16"/>
      <c r="I170" s="16"/>
      <c r="J170" s="17"/>
      <c r="K170" s="16"/>
      <c r="L170" s="16"/>
      <c r="M170" s="16">
        <f t="shared" si="32"/>
        <v>0</v>
      </c>
      <c r="N170" s="16">
        <f t="shared" si="33"/>
        <v>0</v>
      </c>
      <c r="O170" s="16"/>
      <c r="P170" s="16"/>
      <c r="Q170" s="16"/>
    </row>
    <row r="171" ht="15.75" customHeight="1">
      <c r="A171" s="14">
        <f t="shared" si="37"/>
        <v>153</v>
      </c>
      <c r="B171" s="13" t="s">
        <v>149</v>
      </c>
      <c r="C171" s="12" t="s">
        <v>21</v>
      </c>
      <c r="D171" s="29">
        <v>26.0</v>
      </c>
      <c r="E171" s="15">
        <f t="shared" si="31"/>
        <v>18.75</v>
      </c>
      <c r="F171" s="12">
        <v>25.0</v>
      </c>
      <c r="G171" s="19"/>
      <c r="H171" s="16"/>
      <c r="I171" s="16"/>
      <c r="J171" s="17"/>
      <c r="K171" s="16"/>
      <c r="L171" s="16"/>
      <c r="M171" s="16">
        <f t="shared" si="32"/>
        <v>0</v>
      </c>
      <c r="N171" s="16">
        <f t="shared" si="33"/>
        <v>0</v>
      </c>
      <c r="O171" s="16"/>
      <c r="P171" s="16"/>
      <c r="Q171" s="16"/>
    </row>
    <row r="172" ht="15.75" customHeight="1">
      <c r="A172" s="14">
        <f t="shared" si="37"/>
        <v>154</v>
      </c>
      <c r="B172" s="13" t="s">
        <v>150</v>
      </c>
      <c r="C172" s="12" t="s">
        <v>21</v>
      </c>
      <c r="D172" s="29">
        <v>42.0</v>
      </c>
      <c r="E172" s="15">
        <f t="shared" si="31"/>
        <v>15</v>
      </c>
      <c r="F172" s="12">
        <v>20.0</v>
      </c>
      <c r="G172" s="19">
        <v>408.7</v>
      </c>
      <c r="H172" s="19">
        <v>5.92</v>
      </c>
      <c r="I172" s="19">
        <v>4.13</v>
      </c>
      <c r="J172" s="20">
        <v>0.993</v>
      </c>
      <c r="K172" s="19">
        <v>0.47</v>
      </c>
      <c r="L172" s="19">
        <v>4.1</v>
      </c>
      <c r="M172" s="16">
        <f t="shared" si="32"/>
        <v>4.161246862</v>
      </c>
      <c r="N172" s="16">
        <f t="shared" si="33"/>
        <v>0.2733333333</v>
      </c>
      <c r="O172" s="16"/>
      <c r="P172" s="16"/>
      <c r="Q172" s="16"/>
    </row>
    <row r="173" ht="15.75" customHeight="1">
      <c r="A173" s="14">
        <f t="shared" si="37"/>
        <v>155</v>
      </c>
      <c r="B173" s="13" t="s">
        <v>151</v>
      </c>
      <c r="C173" s="14"/>
      <c r="D173" s="21"/>
      <c r="E173" s="15">
        <f t="shared" si="31"/>
        <v>7.5</v>
      </c>
      <c r="F173" s="12">
        <v>10.0</v>
      </c>
      <c r="G173" s="16"/>
      <c r="H173" s="16"/>
      <c r="I173" s="16"/>
      <c r="J173" s="17"/>
      <c r="K173" s="16"/>
      <c r="L173" s="16"/>
      <c r="M173" s="16">
        <f t="shared" si="32"/>
        <v>0</v>
      </c>
      <c r="N173" s="16">
        <f t="shared" si="33"/>
        <v>0</v>
      </c>
      <c r="O173" s="16"/>
      <c r="P173" s="16"/>
      <c r="Q173" s="16"/>
    </row>
    <row r="174" ht="15.75" customHeight="1">
      <c r="A174" s="14">
        <f t="shared" si="37"/>
        <v>156</v>
      </c>
      <c r="B174" s="13" t="s">
        <v>152</v>
      </c>
      <c r="C174" s="14"/>
      <c r="D174" s="21"/>
      <c r="E174" s="15">
        <f t="shared" si="31"/>
        <v>7.5</v>
      </c>
      <c r="F174" s="12">
        <v>10.0</v>
      </c>
      <c r="G174" s="16"/>
      <c r="H174" s="16"/>
      <c r="I174" s="16"/>
      <c r="J174" s="17"/>
      <c r="K174" s="16"/>
      <c r="L174" s="16"/>
      <c r="M174" s="16">
        <f t="shared" si="32"/>
        <v>0</v>
      </c>
      <c r="N174" s="16">
        <f t="shared" si="33"/>
        <v>0</v>
      </c>
      <c r="O174" s="16"/>
      <c r="P174" s="16"/>
      <c r="Q174" s="16"/>
    </row>
    <row r="175" ht="15.75" customHeight="1">
      <c r="A175" s="14">
        <f t="shared" si="37"/>
        <v>157</v>
      </c>
      <c r="B175" s="13" t="s">
        <v>153</v>
      </c>
      <c r="C175" s="14"/>
      <c r="D175" s="21"/>
      <c r="E175" s="15">
        <f t="shared" si="31"/>
        <v>7.5</v>
      </c>
      <c r="F175" s="12">
        <v>10.0</v>
      </c>
      <c r="G175" s="16"/>
      <c r="H175" s="16"/>
      <c r="I175" s="16"/>
      <c r="J175" s="17"/>
      <c r="K175" s="16"/>
      <c r="L175" s="16"/>
      <c r="M175" s="16">
        <f t="shared" si="32"/>
        <v>0</v>
      </c>
      <c r="N175" s="16">
        <f t="shared" si="33"/>
        <v>0</v>
      </c>
      <c r="O175" s="16"/>
      <c r="P175" s="16"/>
      <c r="Q175" s="16"/>
    </row>
    <row r="176" ht="15.75" customHeight="1">
      <c r="A176" s="14">
        <f t="shared" si="37"/>
        <v>158</v>
      </c>
      <c r="B176" s="13" t="s">
        <v>154</v>
      </c>
      <c r="C176" s="14"/>
      <c r="D176" s="21"/>
      <c r="E176" s="15">
        <f t="shared" si="31"/>
        <v>7.5</v>
      </c>
      <c r="F176" s="12">
        <v>10.0</v>
      </c>
      <c r="G176" s="16"/>
      <c r="H176" s="16"/>
      <c r="I176" s="16"/>
      <c r="J176" s="17"/>
      <c r="K176" s="16"/>
      <c r="L176" s="16"/>
      <c r="M176" s="16">
        <f t="shared" si="32"/>
        <v>0</v>
      </c>
      <c r="N176" s="16">
        <f t="shared" si="33"/>
        <v>0</v>
      </c>
      <c r="O176" s="16"/>
      <c r="P176" s="16"/>
      <c r="Q176" s="16"/>
    </row>
    <row r="177" ht="15.75" customHeight="1">
      <c r="A177" s="23" t="s">
        <v>17</v>
      </c>
      <c r="B177" s="24" t="s">
        <v>155</v>
      </c>
      <c r="C177" s="25"/>
      <c r="D177" s="30"/>
      <c r="E177" s="26">
        <f t="shared" si="31"/>
        <v>0</v>
      </c>
      <c r="F177" s="23"/>
      <c r="G177" s="27"/>
      <c r="H177" s="27"/>
      <c r="I177" s="27"/>
      <c r="J177" s="28"/>
      <c r="K177" s="27"/>
      <c r="L177" s="27"/>
      <c r="M177" s="27">
        <f t="shared" si="32"/>
        <v>0</v>
      </c>
      <c r="N177" s="27" t="str">
        <f t="shared" si="33"/>
        <v>#DIV/0!</v>
      </c>
      <c r="O177" s="27"/>
      <c r="P177" s="27"/>
      <c r="Q177" s="27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ht="15.75" customHeight="1">
      <c r="A178" s="14">
        <f>A176+1</f>
        <v>159</v>
      </c>
      <c r="B178" s="13" t="s">
        <v>156</v>
      </c>
      <c r="C178" s="14"/>
      <c r="D178" s="21"/>
      <c r="E178" s="15">
        <f t="shared" si="31"/>
        <v>0</v>
      </c>
      <c r="F178" s="12"/>
      <c r="G178" s="19">
        <v>417.7</v>
      </c>
      <c r="H178" s="19">
        <v>7.48</v>
      </c>
      <c r="I178" s="19">
        <v>5.27</v>
      </c>
      <c r="J178" s="20">
        <v>0.999</v>
      </c>
      <c r="K178" s="19">
        <v>0.05</v>
      </c>
      <c r="L178" s="19">
        <v>5.27</v>
      </c>
      <c r="M178" s="16">
        <f t="shared" si="32"/>
        <v>5.406042418</v>
      </c>
      <c r="N178" s="16" t="str">
        <f t="shared" si="33"/>
        <v>#DIV/0!</v>
      </c>
      <c r="O178" s="16"/>
      <c r="P178" s="16"/>
      <c r="Q178" s="16"/>
    </row>
    <row r="179" ht="15.75" customHeight="1">
      <c r="A179" s="14">
        <f>A178+1</f>
        <v>160</v>
      </c>
      <c r="B179" s="13" t="s">
        <v>157</v>
      </c>
      <c r="C179" s="14"/>
      <c r="D179" s="21"/>
      <c r="E179" s="15">
        <f t="shared" si="31"/>
        <v>30</v>
      </c>
      <c r="F179" s="12">
        <v>40.0</v>
      </c>
      <c r="G179" s="16"/>
      <c r="H179" s="16"/>
      <c r="I179" s="16"/>
      <c r="J179" s="17"/>
      <c r="K179" s="16"/>
      <c r="L179" s="16"/>
      <c r="M179" s="16">
        <f t="shared" si="32"/>
        <v>0</v>
      </c>
      <c r="N179" s="16">
        <f t="shared" si="33"/>
        <v>0</v>
      </c>
      <c r="O179" s="16"/>
      <c r="P179" s="16"/>
      <c r="Q179" s="16"/>
    </row>
    <row r="180" ht="15.75" customHeight="1">
      <c r="A180" s="23" t="s">
        <v>17</v>
      </c>
      <c r="B180" s="24" t="s">
        <v>16</v>
      </c>
      <c r="C180" s="25"/>
      <c r="D180" s="30"/>
      <c r="E180" s="26">
        <f t="shared" si="31"/>
        <v>0</v>
      </c>
      <c r="F180" s="23"/>
      <c r="G180" s="27"/>
      <c r="H180" s="27"/>
      <c r="I180" s="27"/>
      <c r="J180" s="28"/>
      <c r="K180" s="27"/>
      <c r="L180" s="27"/>
      <c r="M180" s="27">
        <f t="shared" si="32"/>
        <v>0</v>
      </c>
      <c r="N180" s="27" t="str">
        <f t="shared" si="33"/>
        <v>#DIV/0!</v>
      </c>
      <c r="O180" s="27"/>
      <c r="P180" s="27"/>
      <c r="Q180" s="27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ht="15.75" customHeight="1">
      <c r="A181" s="14">
        <f>A179+1</f>
        <v>161</v>
      </c>
      <c r="B181" s="13" t="s">
        <v>158</v>
      </c>
      <c r="C181" s="14"/>
      <c r="D181" s="21"/>
      <c r="E181" s="15">
        <f t="shared" si="31"/>
        <v>15</v>
      </c>
      <c r="F181" s="12">
        <v>20.0</v>
      </c>
      <c r="G181" s="16"/>
      <c r="H181" s="16"/>
      <c r="I181" s="16"/>
      <c r="J181" s="17"/>
      <c r="K181" s="16"/>
      <c r="L181" s="16"/>
      <c r="M181" s="16">
        <f t="shared" si="32"/>
        <v>0</v>
      </c>
      <c r="N181" s="16">
        <f t="shared" si="33"/>
        <v>0</v>
      </c>
      <c r="O181" s="16"/>
      <c r="P181" s="16"/>
      <c r="Q181" s="16"/>
    </row>
    <row r="182" ht="15.75" customHeight="1">
      <c r="A182" s="14">
        <f t="shared" ref="A182:A191" si="38">A181+1</f>
        <v>162</v>
      </c>
      <c r="B182" s="13" t="s">
        <v>159</v>
      </c>
      <c r="C182" s="14"/>
      <c r="D182" s="21"/>
      <c r="E182" s="15">
        <f t="shared" si="31"/>
        <v>15</v>
      </c>
      <c r="F182" s="12">
        <v>20.0</v>
      </c>
      <c r="G182" s="16"/>
      <c r="H182" s="16"/>
      <c r="I182" s="16"/>
      <c r="J182" s="17"/>
      <c r="K182" s="16"/>
      <c r="L182" s="16"/>
      <c r="M182" s="16">
        <f t="shared" si="32"/>
        <v>0</v>
      </c>
      <c r="N182" s="16">
        <f t="shared" si="33"/>
        <v>0</v>
      </c>
      <c r="O182" s="16"/>
      <c r="P182" s="16"/>
      <c r="Q182" s="16"/>
    </row>
    <row r="183" ht="15.75" customHeight="1">
      <c r="A183" s="14">
        <f t="shared" si="38"/>
        <v>163</v>
      </c>
      <c r="B183" s="13" t="s">
        <v>160</v>
      </c>
      <c r="C183" s="14"/>
      <c r="D183" s="21"/>
      <c r="E183" s="15">
        <f t="shared" si="31"/>
        <v>15</v>
      </c>
      <c r="F183" s="12">
        <v>20.0</v>
      </c>
      <c r="G183" s="16"/>
      <c r="H183" s="16"/>
      <c r="I183" s="16"/>
      <c r="J183" s="17"/>
      <c r="K183" s="16"/>
      <c r="L183" s="16"/>
      <c r="M183" s="16">
        <f t="shared" si="32"/>
        <v>0</v>
      </c>
      <c r="N183" s="16">
        <f t="shared" si="33"/>
        <v>0</v>
      </c>
      <c r="O183" s="16"/>
      <c r="P183" s="16"/>
      <c r="Q183" s="16"/>
    </row>
    <row r="184" ht="15.75" customHeight="1">
      <c r="A184" s="14">
        <f t="shared" si="38"/>
        <v>164</v>
      </c>
      <c r="B184" s="13" t="s">
        <v>161</v>
      </c>
      <c r="C184" s="14"/>
      <c r="D184" s="21"/>
      <c r="E184" s="15">
        <f t="shared" si="31"/>
        <v>15</v>
      </c>
      <c r="F184" s="12">
        <v>20.0</v>
      </c>
      <c r="G184" s="16"/>
      <c r="H184" s="16"/>
      <c r="I184" s="16"/>
      <c r="J184" s="17"/>
      <c r="K184" s="19" t="s">
        <v>162</v>
      </c>
      <c r="L184" s="16"/>
      <c r="M184" s="16">
        <f t="shared" si="32"/>
        <v>0</v>
      </c>
      <c r="N184" s="16">
        <f t="shared" si="33"/>
        <v>0</v>
      </c>
      <c r="O184" s="16"/>
      <c r="P184" s="16"/>
      <c r="Q184" s="16"/>
    </row>
    <row r="185" ht="15.75" customHeight="1">
      <c r="A185" s="14">
        <f t="shared" si="38"/>
        <v>165</v>
      </c>
      <c r="B185" s="13" t="s">
        <v>163</v>
      </c>
      <c r="C185" s="14"/>
      <c r="D185" s="21"/>
      <c r="E185" s="15">
        <f t="shared" si="31"/>
        <v>22.5</v>
      </c>
      <c r="F185" s="12">
        <v>30.0</v>
      </c>
      <c r="G185" s="16"/>
      <c r="H185" s="16"/>
      <c r="I185" s="16"/>
      <c r="J185" s="17"/>
      <c r="K185" s="16"/>
      <c r="L185" s="16"/>
      <c r="M185" s="16">
        <f t="shared" si="32"/>
        <v>0</v>
      </c>
      <c r="N185" s="16">
        <f t="shared" si="33"/>
        <v>0</v>
      </c>
      <c r="O185" s="16"/>
      <c r="P185" s="16"/>
      <c r="Q185" s="16"/>
    </row>
    <row r="186" ht="15.75" customHeight="1">
      <c r="A186" s="14">
        <f t="shared" si="38"/>
        <v>166</v>
      </c>
      <c r="B186" s="13" t="s">
        <v>164</v>
      </c>
      <c r="C186" s="14"/>
      <c r="D186" s="21"/>
      <c r="E186" s="15">
        <f t="shared" si="31"/>
        <v>15</v>
      </c>
      <c r="F186" s="12">
        <v>20.0</v>
      </c>
      <c r="G186" s="16"/>
      <c r="H186" s="16"/>
      <c r="I186" s="16"/>
      <c r="J186" s="17"/>
      <c r="K186" s="16"/>
      <c r="L186" s="16"/>
      <c r="M186" s="16">
        <f t="shared" si="32"/>
        <v>0</v>
      </c>
      <c r="N186" s="16">
        <f t="shared" si="33"/>
        <v>0</v>
      </c>
      <c r="O186" s="16"/>
      <c r="P186" s="16"/>
      <c r="Q186" s="16"/>
    </row>
    <row r="187" ht="15.75" customHeight="1">
      <c r="A187" s="14">
        <f t="shared" si="38"/>
        <v>167</v>
      </c>
      <c r="B187" s="13" t="s">
        <v>165</v>
      </c>
      <c r="C187" s="14"/>
      <c r="D187" s="21"/>
      <c r="E187" s="15">
        <f t="shared" si="31"/>
        <v>11.25</v>
      </c>
      <c r="F187" s="12">
        <v>15.0</v>
      </c>
      <c r="G187" s="16"/>
      <c r="H187" s="16"/>
      <c r="I187" s="16"/>
      <c r="J187" s="17"/>
      <c r="K187" s="16"/>
      <c r="L187" s="16"/>
      <c r="M187" s="16">
        <f t="shared" si="32"/>
        <v>0</v>
      </c>
      <c r="N187" s="16">
        <f t="shared" si="33"/>
        <v>0</v>
      </c>
      <c r="O187" s="16"/>
      <c r="P187" s="16"/>
      <c r="Q187" s="16"/>
    </row>
    <row r="188" ht="15.75" customHeight="1">
      <c r="A188" s="14">
        <f t="shared" si="38"/>
        <v>168</v>
      </c>
      <c r="B188" s="13" t="s">
        <v>166</v>
      </c>
      <c r="C188" s="14"/>
      <c r="D188" s="21"/>
      <c r="E188" s="15">
        <f t="shared" si="31"/>
        <v>7.5</v>
      </c>
      <c r="F188" s="12">
        <v>10.0</v>
      </c>
      <c r="G188" s="16"/>
      <c r="H188" s="16"/>
      <c r="I188" s="16"/>
      <c r="J188" s="17"/>
      <c r="K188" s="16"/>
      <c r="L188" s="16"/>
      <c r="M188" s="16">
        <f t="shared" si="32"/>
        <v>0</v>
      </c>
      <c r="N188" s="16">
        <f t="shared" si="33"/>
        <v>0</v>
      </c>
      <c r="O188" s="16"/>
      <c r="P188" s="16"/>
      <c r="Q188" s="16"/>
    </row>
    <row r="189" ht="15.75" customHeight="1">
      <c r="A189" s="14">
        <f t="shared" si="38"/>
        <v>169</v>
      </c>
      <c r="B189" s="13" t="s">
        <v>167</v>
      </c>
      <c r="C189" s="14"/>
      <c r="D189" s="21"/>
      <c r="E189" s="15">
        <f t="shared" si="31"/>
        <v>0</v>
      </c>
      <c r="F189" s="12"/>
      <c r="G189" s="16"/>
      <c r="H189" s="16"/>
      <c r="I189" s="16"/>
      <c r="J189" s="17"/>
      <c r="K189" s="16"/>
      <c r="L189" s="16"/>
      <c r="M189" s="16">
        <f t="shared" si="32"/>
        <v>0</v>
      </c>
      <c r="N189" s="16" t="str">
        <f t="shared" si="33"/>
        <v>#DIV/0!</v>
      </c>
      <c r="O189" s="16"/>
      <c r="P189" s="16"/>
      <c r="Q189" s="16"/>
    </row>
    <row r="190" ht="15.75" customHeight="1">
      <c r="A190" s="14">
        <f t="shared" si="38"/>
        <v>170</v>
      </c>
      <c r="B190" s="13" t="s">
        <v>168</v>
      </c>
      <c r="C190" s="14"/>
      <c r="D190" s="21"/>
      <c r="E190" s="15">
        <f t="shared" si="31"/>
        <v>15</v>
      </c>
      <c r="F190" s="12">
        <v>20.0</v>
      </c>
      <c r="G190" s="16"/>
      <c r="H190" s="16"/>
      <c r="I190" s="16"/>
      <c r="J190" s="17"/>
      <c r="K190" s="16"/>
      <c r="L190" s="16"/>
      <c r="M190" s="16">
        <f t="shared" si="32"/>
        <v>0</v>
      </c>
      <c r="N190" s="16">
        <f t="shared" si="33"/>
        <v>0</v>
      </c>
      <c r="O190" s="16"/>
      <c r="P190" s="16"/>
      <c r="Q190" s="16"/>
    </row>
    <row r="191" ht="15.75" customHeight="1">
      <c r="A191" s="14">
        <f t="shared" si="38"/>
        <v>171</v>
      </c>
      <c r="B191" s="13" t="s">
        <v>169</v>
      </c>
      <c r="C191" s="14"/>
      <c r="D191" s="21"/>
      <c r="E191" s="15">
        <f t="shared" si="31"/>
        <v>5.625</v>
      </c>
      <c r="F191" s="12">
        <v>7.5</v>
      </c>
      <c r="G191" s="16"/>
      <c r="H191" s="16"/>
      <c r="I191" s="16"/>
      <c r="J191" s="17"/>
      <c r="K191" s="16"/>
      <c r="L191" s="16"/>
      <c r="M191" s="16">
        <f t="shared" si="32"/>
        <v>0</v>
      </c>
      <c r="N191" s="16">
        <f t="shared" si="33"/>
        <v>0</v>
      </c>
      <c r="O191" s="16"/>
      <c r="P191" s="16"/>
      <c r="Q191" s="16"/>
    </row>
    <row r="192" ht="15.75" customHeight="1">
      <c r="A192" s="23" t="s">
        <v>17</v>
      </c>
      <c r="B192" s="24" t="s">
        <v>170</v>
      </c>
      <c r="C192" s="25"/>
      <c r="D192" s="30"/>
      <c r="E192" s="26">
        <f t="shared" si="31"/>
        <v>0</v>
      </c>
      <c r="F192" s="23"/>
      <c r="G192" s="27"/>
      <c r="H192" s="27"/>
      <c r="I192" s="27"/>
      <c r="J192" s="28"/>
      <c r="K192" s="27"/>
      <c r="L192" s="27"/>
      <c r="M192" s="27">
        <f t="shared" si="32"/>
        <v>0</v>
      </c>
      <c r="N192" s="27" t="str">
        <f t="shared" si="33"/>
        <v>#DIV/0!</v>
      </c>
      <c r="O192" s="27"/>
      <c r="P192" s="27"/>
      <c r="Q192" s="27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ht="15.75" customHeight="1">
      <c r="A193" s="14">
        <f>A191+1</f>
        <v>172</v>
      </c>
      <c r="B193" s="13" t="s">
        <v>171</v>
      </c>
      <c r="C193" s="14"/>
      <c r="D193" s="21"/>
      <c r="E193" s="15">
        <f t="shared" si="31"/>
        <v>0</v>
      </c>
      <c r="F193" s="12"/>
      <c r="G193" s="16"/>
      <c r="H193" s="16"/>
      <c r="I193" s="16"/>
      <c r="J193" s="17"/>
      <c r="K193" s="16"/>
      <c r="L193" s="16"/>
      <c r="M193" s="16">
        <f t="shared" si="32"/>
        <v>0</v>
      </c>
      <c r="N193" s="16" t="str">
        <f t="shared" si="33"/>
        <v>#DIV/0!</v>
      </c>
      <c r="O193" s="16"/>
      <c r="P193" s="16"/>
      <c r="Q193" s="16"/>
    </row>
    <row r="194" ht="15.75" customHeight="1">
      <c r="A194" s="14">
        <f t="shared" ref="A194:A199" si="39">A193+1</f>
        <v>173</v>
      </c>
      <c r="B194" s="13" t="s">
        <v>172</v>
      </c>
      <c r="C194" s="12" t="s">
        <v>21</v>
      </c>
      <c r="D194" s="32">
        <v>20.0</v>
      </c>
      <c r="E194" s="33">
        <f t="shared" si="31"/>
        <v>37.5</v>
      </c>
      <c r="F194" s="34">
        <v>50.0</v>
      </c>
      <c r="G194" s="35">
        <v>423.7</v>
      </c>
      <c r="H194" s="35">
        <v>10.64</v>
      </c>
      <c r="I194" s="35">
        <v>7.86</v>
      </c>
      <c r="J194" s="36">
        <v>0.996</v>
      </c>
      <c r="K194" s="35">
        <v>0.68</v>
      </c>
      <c r="L194" s="35">
        <v>7.65</v>
      </c>
      <c r="M194" s="16">
        <f t="shared" si="32"/>
        <v>7.776914388</v>
      </c>
      <c r="N194" s="16">
        <f t="shared" si="33"/>
        <v>0.204</v>
      </c>
      <c r="O194" s="16"/>
      <c r="P194" s="16"/>
      <c r="Q194" s="16"/>
    </row>
    <row r="195" ht="15.75" customHeight="1">
      <c r="A195" s="14">
        <f t="shared" si="39"/>
        <v>174</v>
      </c>
      <c r="B195" s="13" t="s">
        <v>173</v>
      </c>
      <c r="C195" s="12" t="s">
        <v>21</v>
      </c>
      <c r="D195" s="32">
        <v>25.0</v>
      </c>
      <c r="E195" s="33">
        <f t="shared" si="31"/>
        <v>22.5</v>
      </c>
      <c r="F195" s="34">
        <v>30.0</v>
      </c>
      <c r="G195" s="35">
        <v>424.4</v>
      </c>
      <c r="H195" s="35">
        <v>4.17</v>
      </c>
      <c r="I195" s="35">
        <v>2.72</v>
      </c>
      <c r="J195" s="36">
        <v>0.999</v>
      </c>
      <c r="K195" s="35">
        <v>0.0</v>
      </c>
      <c r="L195" s="35">
        <v>2.74</v>
      </c>
      <c r="M195" s="16">
        <f t="shared" si="32"/>
        <v>3.062138332</v>
      </c>
      <c r="N195" s="16">
        <f t="shared" si="33"/>
        <v>0.1217777778</v>
      </c>
      <c r="O195" s="16"/>
      <c r="P195" s="16"/>
      <c r="Q195" s="16"/>
    </row>
    <row r="196" ht="15.75" customHeight="1">
      <c r="A196" s="14">
        <f t="shared" si="39"/>
        <v>175</v>
      </c>
      <c r="B196" s="13" t="s">
        <v>174</v>
      </c>
      <c r="C196" s="12" t="s">
        <v>175</v>
      </c>
      <c r="D196" s="32"/>
      <c r="E196" s="33">
        <f t="shared" si="31"/>
        <v>3.75</v>
      </c>
      <c r="F196" s="34">
        <v>5.0</v>
      </c>
      <c r="G196" s="35">
        <v>425.5</v>
      </c>
      <c r="H196" s="35">
        <v>2.82</v>
      </c>
      <c r="I196" s="35">
        <v>1.94</v>
      </c>
      <c r="J196" s="36">
        <v>0.996</v>
      </c>
      <c r="K196" s="35">
        <v>0.15</v>
      </c>
      <c r="L196" s="35">
        <v>1.95</v>
      </c>
      <c r="M196" s="16">
        <f t="shared" si="32"/>
        <v>2.069931144</v>
      </c>
      <c r="N196" s="16">
        <f t="shared" si="33"/>
        <v>0.52</v>
      </c>
      <c r="O196" s="16"/>
      <c r="P196" s="16"/>
      <c r="Q196" s="16"/>
    </row>
    <row r="197" ht="15.75" customHeight="1">
      <c r="A197" s="14">
        <f t="shared" si="39"/>
        <v>176</v>
      </c>
      <c r="B197" s="13" t="s">
        <v>176</v>
      </c>
      <c r="C197" s="12" t="s">
        <v>175</v>
      </c>
      <c r="D197" s="32"/>
      <c r="E197" s="33">
        <f t="shared" si="31"/>
        <v>3.75</v>
      </c>
      <c r="F197" s="34">
        <v>5.0</v>
      </c>
      <c r="G197" s="35">
        <v>424.7</v>
      </c>
      <c r="H197" s="35">
        <v>2.02</v>
      </c>
      <c r="I197" s="35">
        <v>1.35</v>
      </c>
      <c r="J197" s="36">
        <v>0.999</v>
      </c>
      <c r="K197" s="35">
        <v>0.02</v>
      </c>
      <c r="L197" s="35">
        <v>1.35</v>
      </c>
      <c r="M197" s="16">
        <f t="shared" si="32"/>
        <v>1.484386536</v>
      </c>
      <c r="N197" s="16">
        <f t="shared" si="33"/>
        <v>0.36</v>
      </c>
      <c r="O197" s="16"/>
      <c r="P197" s="16"/>
      <c r="Q197" s="16"/>
    </row>
    <row r="198" ht="15.75" customHeight="1">
      <c r="A198" s="14">
        <f t="shared" si="39"/>
        <v>177</v>
      </c>
      <c r="B198" s="13" t="s">
        <v>177</v>
      </c>
      <c r="C198" s="12" t="s">
        <v>175</v>
      </c>
      <c r="D198" s="21"/>
      <c r="E198" s="33">
        <f t="shared" si="31"/>
        <v>7.5</v>
      </c>
      <c r="F198" s="34">
        <v>10.0</v>
      </c>
      <c r="G198" s="35">
        <v>425.4</v>
      </c>
      <c r="H198" s="35">
        <v>12.35</v>
      </c>
      <c r="I198" s="35">
        <v>8.4</v>
      </c>
      <c r="J198" s="36">
        <v>0.892</v>
      </c>
      <c r="K198" s="35">
        <v>3.79</v>
      </c>
      <c r="L198" s="35">
        <v>7.49</v>
      </c>
      <c r="M198" s="16">
        <f t="shared" si="32"/>
        <v>8.116656843</v>
      </c>
      <c r="N198" s="16">
        <f t="shared" si="33"/>
        <v>0.9986666667</v>
      </c>
      <c r="O198" s="16"/>
      <c r="P198" s="16"/>
      <c r="Q198" s="16"/>
    </row>
    <row r="199" ht="15.75" customHeight="1">
      <c r="A199" s="14">
        <f t="shared" si="39"/>
        <v>178</v>
      </c>
      <c r="B199" s="13" t="s">
        <v>178</v>
      </c>
      <c r="C199" s="12" t="s">
        <v>175</v>
      </c>
      <c r="D199" s="21"/>
      <c r="E199" s="33">
        <f t="shared" si="31"/>
        <v>7.5</v>
      </c>
      <c r="F199" s="34">
        <v>10.0</v>
      </c>
      <c r="G199" s="35">
        <v>423.2</v>
      </c>
      <c r="H199" s="35">
        <v>10.45</v>
      </c>
      <c r="I199" s="35">
        <v>6.3</v>
      </c>
      <c r="J199" s="36">
        <v>0.835</v>
      </c>
      <c r="K199" s="35">
        <v>3.48</v>
      </c>
      <c r="L199" s="35">
        <v>5.28</v>
      </c>
      <c r="M199" s="16">
        <f t="shared" si="32"/>
        <v>6.395821177</v>
      </c>
      <c r="N199" s="16">
        <f t="shared" si="33"/>
        <v>0.704</v>
      </c>
      <c r="O199" s="16"/>
      <c r="P199" s="16"/>
      <c r="Q199" s="16"/>
    </row>
    <row r="200" ht="15.75" customHeight="1">
      <c r="A200" s="23" t="s">
        <v>17</v>
      </c>
      <c r="B200" s="24" t="s">
        <v>179</v>
      </c>
      <c r="C200" s="25"/>
      <c r="D200" s="30"/>
      <c r="E200" s="26">
        <f t="shared" si="31"/>
        <v>0</v>
      </c>
      <c r="F200" s="23"/>
      <c r="G200" s="27"/>
      <c r="H200" s="27"/>
      <c r="I200" s="27"/>
      <c r="J200" s="28"/>
      <c r="K200" s="27"/>
      <c r="L200" s="27"/>
      <c r="M200" s="27">
        <f t="shared" si="32"/>
        <v>0</v>
      </c>
      <c r="N200" s="27" t="str">
        <f t="shared" si="33"/>
        <v>#DIV/0!</v>
      </c>
      <c r="O200" s="27"/>
      <c r="P200" s="27"/>
      <c r="Q200" s="27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ht="15.75" customHeight="1">
      <c r="A201" s="14">
        <f>A199+1</f>
        <v>179</v>
      </c>
      <c r="B201" s="13" t="s">
        <v>180</v>
      </c>
      <c r="C201" s="14"/>
      <c r="D201" s="21"/>
      <c r="E201" s="15">
        <f t="shared" si="31"/>
        <v>0</v>
      </c>
      <c r="F201" s="12"/>
      <c r="G201" s="35">
        <v>420.6</v>
      </c>
      <c r="H201" s="35">
        <v>95.7</v>
      </c>
      <c r="I201" s="35">
        <v>69.46</v>
      </c>
      <c r="J201" s="36">
        <v>0.925</v>
      </c>
      <c r="K201" s="35">
        <v>9.91</v>
      </c>
      <c r="L201" s="35">
        <v>64.38</v>
      </c>
      <c r="M201" s="16">
        <f t="shared" si="32"/>
        <v>64.48679998</v>
      </c>
      <c r="N201" s="16" t="str">
        <f t="shared" si="33"/>
        <v>#DIV/0!</v>
      </c>
      <c r="O201" s="16"/>
      <c r="P201" s="16"/>
      <c r="Q201" s="16"/>
    </row>
    <row r="202" ht="15.75" customHeight="1">
      <c r="A202" s="14">
        <f t="shared" ref="A202:A325" si="40">A201+1</f>
        <v>180</v>
      </c>
      <c r="B202" s="13" t="s">
        <v>181</v>
      </c>
      <c r="C202" s="12" t="s">
        <v>21</v>
      </c>
      <c r="D202" s="32">
        <v>40.0</v>
      </c>
      <c r="E202" s="33">
        <f t="shared" si="31"/>
        <v>37.5</v>
      </c>
      <c r="F202" s="34">
        <v>50.0</v>
      </c>
      <c r="G202" s="35">
        <v>420.7</v>
      </c>
      <c r="H202" s="35">
        <v>22.09</v>
      </c>
      <c r="I202" s="35">
        <v>15.96</v>
      </c>
      <c r="J202" s="36">
        <v>0.999</v>
      </c>
      <c r="K202" s="35">
        <v>0.16</v>
      </c>
      <c r="L202" s="35">
        <v>15.96</v>
      </c>
      <c r="M202" s="16">
        <f t="shared" si="32"/>
        <v>16.07983558</v>
      </c>
      <c r="N202" s="16">
        <f t="shared" si="33"/>
        <v>0.4256</v>
      </c>
      <c r="O202" s="16"/>
      <c r="P202" s="16"/>
      <c r="Q202" s="16"/>
    </row>
    <row r="203" ht="15.75" customHeight="1">
      <c r="A203" s="14">
        <f t="shared" si="40"/>
        <v>181</v>
      </c>
      <c r="B203" s="13" t="s">
        <v>173</v>
      </c>
      <c r="C203" s="12" t="s">
        <v>21</v>
      </c>
      <c r="D203" s="32">
        <v>31.0</v>
      </c>
      <c r="E203" s="33">
        <f t="shared" si="31"/>
        <v>18.75</v>
      </c>
      <c r="F203" s="34">
        <v>25.0</v>
      </c>
      <c r="G203" s="35">
        <v>419.3</v>
      </c>
      <c r="H203" s="35">
        <v>8.56</v>
      </c>
      <c r="I203" s="35">
        <v>5.88</v>
      </c>
      <c r="J203" s="36">
        <v>0.999</v>
      </c>
      <c r="K203" s="35">
        <v>0.17</v>
      </c>
      <c r="L203" s="35">
        <v>5.87</v>
      </c>
      <c r="M203" s="16">
        <f t="shared" si="32"/>
        <v>6.210291748</v>
      </c>
      <c r="N203" s="16">
        <f t="shared" si="33"/>
        <v>0.3130666667</v>
      </c>
      <c r="O203" s="16"/>
      <c r="P203" s="16"/>
      <c r="Q203" s="16"/>
    </row>
    <row r="204" ht="15.75" customHeight="1">
      <c r="A204" s="14">
        <f t="shared" si="40"/>
        <v>182</v>
      </c>
      <c r="B204" s="13" t="s">
        <v>182</v>
      </c>
      <c r="C204" s="12" t="s">
        <v>175</v>
      </c>
      <c r="D204" s="21"/>
      <c r="E204" s="33">
        <f t="shared" si="31"/>
        <v>3.75</v>
      </c>
      <c r="F204" s="34">
        <v>5.0</v>
      </c>
      <c r="G204" s="35">
        <v>419.2</v>
      </c>
      <c r="H204" s="35">
        <v>6.77</v>
      </c>
      <c r="I204" s="35">
        <v>4.46</v>
      </c>
      <c r="J204" s="36">
        <v>0.777</v>
      </c>
      <c r="K204" s="35">
        <v>2.81</v>
      </c>
      <c r="L204" s="35">
        <v>3.47</v>
      </c>
      <c r="M204" s="16">
        <f t="shared" si="32"/>
        <v>3.8192567</v>
      </c>
      <c r="N204" s="16">
        <f t="shared" si="33"/>
        <v>0.9253333333</v>
      </c>
      <c r="O204" s="16"/>
      <c r="P204" s="16"/>
      <c r="Q204" s="16"/>
    </row>
    <row r="205" ht="15.75" customHeight="1">
      <c r="A205" s="14">
        <f t="shared" si="40"/>
        <v>183</v>
      </c>
      <c r="B205" s="13" t="s">
        <v>183</v>
      </c>
      <c r="C205" s="12" t="s">
        <v>175</v>
      </c>
      <c r="D205" s="21"/>
      <c r="E205" s="33">
        <f t="shared" si="31"/>
        <v>3.75</v>
      </c>
      <c r="F205" s="34">
        <v>5.0</v>
      </c>
      <c r="G205" s="35">
        <v>419.3</v>
      </c>
      <c r="H205" s="35">
        <v>5.88</v>
      </c>
      <c r="I205" s="35">
        <v>3.81</v>
      </c>
      <c r="J205" s="36">
        <v>0.783</v>
      </c>
      <c r="K205" s="35">
        <v>2.36</v>
      </c>
      <c r="L205" s="35">
        <v>2.98</v>
      </c>
      <c r="M205" s="16">
        <f t="shared" si="32"/>
        <v>3.34358092</v>
      </c>
      <c r="N205" s="16">
        <f t="shared" si="33"/>
        <v>0.7946666667</v>
      </c>
      <c r="O205" s="16"/>
      <c r="P205" s="16"/>
      <c r="Q205" s="16"/>
    </row>
    <row r="206" ht="15.75" customHeight="1">
      <c r="A206" s="14">
        <f t="shared" si="40"/>
        <v>184</v>
      </c>
      <c r="B206" s="13" t="s">
        <v>184</v>
      </c>
      <c r="C206" s="12" t="s">
        <v>21</v>
      </c>
      <c r="D206" s="32">
        <v>45.9</v>
      </c>
      <c r="E206" s="33">
        <v>45.0</v>
      </c>
      <c r="F206" s="34">
        <v>60.0</v>
      </c>
      <c r="G206" s="35">
        <v>417.9</v>
      </c>
      <c r="H206" s="35">
        <v>56.17</v>
      </c>
      <c r="I206" s="35">
        <v>40.24</v>
      </c>
      <c r="J206" s="36">
        <v>0.998</v>
      </c>
      <c r="K206" s="35">
        <v>1.83</v>
      </c>
      <c r="L206" s="35">
        <v>40.23</v>
      </c>
      <c r="M206" s="16">
        <f t="shared" si="32"/>
        <v>40.57469127</v>
      </c>
      <c r="N206" s="16">
        <f t="shared" si="33"/>
        <v>0.894</v>
      </c>
      <c r="O206" s="16"/>
      <c r="P206" s="16"/>
      <c r="Q206" s="16"/>
    </row>
    <row r="207" ht="15.75" customHeight="1">
      <c r="A207" s="14">
        <f t="shared" si="40"/>
        <v>185</v>
      </c>
      <c r="B207" s="18"/>
      <c r="C207" s="14"/>
      <c r="D207" s="21"/>
      <c r="E207" s="15">
        <f t="shared" ref="E207:E325" si="41">F207*0.75</f>
        <v>0</v>
      </c>
      <c r="F207" s="12"/>
      <c r="G207" s="16"/>
      <c r="H207" s="16"/>
      <c r="I207" s="16"/>
      <c r="J207" s="17"/>
      <c r="K207" s="16"/>
      <c r="L207" s="16"/>
      <c r="M207" s="16">
        <f t="shared" si="32"/>
        <v>0</v>
      </c>
      <c r="N207" s="16" t="str">
        <f t="shared" si="33"/>
        <v>#DIV/0!</v>
      </c>
      <c r="O207" s="16"/>
      <c r="P207" s="16"/>
      <c r="Q207" s="16"/>
    </row>
    <row r="208" ht="15.75" customHeight="1">
      <c r="A208" s="14">
        <f t="shared" si="40"/>
        <v>186</v>
      </c>
      <c r="B208" s="18"/>
      <c r="C208" s="14"/>
      <c r="D208" s="21"/>
      <c r="E208" s="15">
        <f t="shared" si="41"/>
        <v>0</v>
      </c>
      <c r="F208" s="12"/>
      <c r="G208" s="16"/>
      <c r="H208" s="16"/>
      <c r="I208" s="16"/>
      <c r="J208" s="17"/>
      <c r="K208" s="16"/>
      <c r="L208" s="16"/>
      <c r="M208" s="16">
        <f t="shared" si="32"/>
        <v>0</v>
      </c>
      <c r="N208" s="16" t="str">
        <f t="shared" si="33"/>
        <v>#DIV/0!</v>
      </c>
      <c r="O208" s="16"/>
      <c r="P208" s="16"/>
      <c r="Q208" s="16"/>
    </row>
    <row r="209" ht="15.75" customHeight="1">
      <c r="A209" s="14">
        <f t="shared" si="40"/>
        <v>187</v>
      </c>
      <c r="B209" s="18"/>
      <c r="C209" s="14"/>
      <c r="D209" s="21"/>
      <c r="E209" s="15">
        <f t="shared" si="41"/>
        <v>0</v>
      </c>
      <c r="F209" s="12"/>
      <c r="G209" s="16"/>
      <c r="H209" s="16"/>
      <c r="I209" s="16"/>
      <c r="J209" s="17"/>
      <c r="K209" s="16"/>
      <c r="L209" s="16"/>
      <c r="M209" s="16">
        <f t="shared" si="32"/>
        <v>0</v>
      </c>
      <c r="N209" s="16" t="str">
        <f t="shared" si="33"/>
        <v>#DIV/0!</v>
      </c>
      <c r="O209" s="16"/>
      <c r="P209" s="16"/>
      <c r="Q209" s="16"/>
    </row>
    <row r="210" ht="15.75" customHeight="1">
      <c r="A210" s="14">
        <f t="shared" si="40"/>
        <v>188</v>
      </c>
      <c r="B210" s="13" t="s">
        <v>185</v>
      </c>
      <c r="C210" s="12" t="s">
        <v>175</v>
      </c>
      <c r="D210" s="21"/>
      <c r="E210" s="15">
        <f t="shared" si="41"/>
        <v>0</v>
      </c>
      <c r="F210" s="12"/>
      <c r="G210" s="16"/>
      <c r="H210" s="16"/>
      <c r="I210" s="16"/>
      <c r="J210" s="17"/>
      <c r="K210" s="16"/>
      <c r="L210" s="16"/>
      <c r="M210" s="16">
        <f t="shared" si="32"/>
        <v>0</v>
      </c>
      <c r="N210" s="16" t="str">
        <f t="shared" si="33"/>
        <v>#DIV/0!</v>
      </c>
      <c r="O210" s="16"/>
      <c r="P210" s="16"/>
      <c r="Q210" s="16"/>
    </row>
    <row r="211" ht="15.75" customHeight="1">
      <c r="A211" s="14">
        <f t="shared" si="40"/>
        <v>189</v>
      </c>
      <c r="B211" s="13" t="s">
        <v>158</v>
      </c>
      <c r="C211" s="14"/>
      <c r="D211" s="21"/>
      <c r="E211" s="15">
        <f t="shared" si="41"/>
        <v>0</v>
      </c>
      <c r="F211" s="12"/>
      <c r="G211" s="16"/>
      <c r="H211" s="16"/>
      <c r="I211" s="19">
        <v>5.67</v>
      </c>
      <c r="J211" s="20">
        <v>0.92</v>
      </c>
      <c r="K211" s="16"/>
      <c r="L211" s="16"/>
      <c r="M211" s="16">
        <f t="shared" si="32"/>
        <v>0</v>
      </c>
      <c r="N211" s="16" t="str">
        <f t="shared" si="33"/>
        <v>#DIV/0!</v>
      </c>
      <c r="O211" s="16"/>
      <c r="P211" s="16"/>
      <c r="Q211" s="16"/>
    </row>
    <row r="212" ht="15.75" customHeight="1">
      <c r="A212" s="14">
        <f t="shared" si="40"/>
        <v>190</v>
      </c>
      <c r="B212" s="18"/>
      <c r="C212" s="14"/>
      <c r="D212" s="21"/>
      <c r="E212" s="15">
        <f t="shared" si="41"/>
        <v>0</v>
      </c>
      <c r="F212" s="12"/>
      <c r="G212" s="16"/>
      <c r="H212" s="16"/>
      <c r="I212" s="16"/>
      <c r="J212" s="17"/>
      <c r="K212" s="16"/>
      <c r="L212" s="16"/>
      <c r="M212" s="16">
        <f t="shared" si="32"/>
        <v>0</v>
      </c>
      <c r="N212" s="16" t="str">
        <f t="shared" si="33"/>
        <v>#DIV/0!</v>
      </c>
      <c r="O212" s="16"/>
      <c r="P212" s="16"/>
      <c r="Q212" s="16"/>
    </row>
    <row r="213" ht="15.75" customHeight="1">
      <c r="A213" s="14">
        <f t="shared" si="40"/>
        <v>191</v>
      </c>
      <c r="B213" s="18"/>
      <c r="C213" s="14"/>
      <c r="D213" s="21"/>
      <c r="E213" s="15">
        <f t="shared" si="41"/>
        <v>0</v>
      </c>
      <c r="F213" s="12"/>
      <c r="G213" s="16"/>
      <c r="H213" s="16"/>
      <c r="I213" s="16"/>
      <c r="J213" s="17"/>
      <c r="K213" s="16"/>
      <c r="L213" s="16"/>
      <c r="M213" s="16">
        <f t="shared" si="32"/>
        <v>0</v>
      </c>
      <c r="N213" s="16" t="str">
        <f t="shared" si="33"/>
        <v>#DIV/0!</v>
      </c>
      <c r="O213" s="16"/>
      <c r="P213" s="16"/>
      <c r="Q213" s="16"/>
    </row>
    <row r="214" ht="15.75" customHeight="1">
      <c r="A214" s="14">
        <f t="shared" si="40"/>
        <v>192</v>
      </c>
      <c r="B214" s="18"/>
      <c r="C214" s="14"/>
      <c r="D214" s="21"/>
      <c r="E214" s="15">
        <f t="shared" si="41"/>
        <v>0</v>
      </c>
      <c r="F214" s="12"/>
      <c r="G214" s="16"/>
      <c r="H214" s="16"/>
      <c r="I214" s="16"/>
      <c r="J214" s="17"/>
      <c r="K214" s="16"/>
      <c r="L214" s="16"/>
      <c r="M214" s="16">
        <f t="shared" si="32"/>
        <v>0</v>
      </c>
      <c r="N214" s="16" t="str">
        <f t="shared" si="33"/>
        <v>#DIV/0!</v>
      </c>
      <c r="O214" s="16"/>
      <c r="P214" s="16"/>
      <c r="Q214" s="16"/>
    </row>
    <row r="215" ht="15.75" customHeight="1">
      <c r="A215" s="14">
        <f t="shared" si="40"/>
        <v>193</v>
      </c>
      <c r="B215" s="18"/>
      <c r="C215" s="14"/>
      <c r="D215" s="21"/>
      <c r="E215" s="15">
        <f t="shared" si="41"/>
        <v>0</v>
      </c>
      <c r="F215" s="12"/>
      <c r="G215" s="16"/>
      <c r="H215" s="16"/>
      <c r="I215" s="16"/>
      <c r="J215" s="17"/>
      <c r="K215" s="16"/>
      <c r="L215" s="16"/>
      <c r="M215" s="16">
        <f t="shared" si="32"/>
        <v>0</v>
      </c>
      <c r="N215" s="16" t="str">
        <f t="shared" si="33"/>
        <v>#DIV/0!</v>
      </c>
      <c r="O215" s="16"/>
      <c r="P215" s="16"/>
      <c r="Q215" s="16"/>
    </row>
    <row r="216" ht="15.75" customHeight="1">
      <c r="A216" s="14">
        <f t="shared" si="40"/>
        <v>194</v>
      </c>
      <c r="B216" s="18"/>
      <c r="C216" s="14"/>
      <c r="D216" s="21"/>
      <c r="E216" s="15">
        <f t="shared" si="41"/>
        <v>0</v>
      </c>
      <c r="F216" s="12"/>
      <c r="G216" s="16"/>
      <c r="H216" s="16"/>
      <c r="I216" s="16"/>
      <c r="J216" s="17"/>
      <c r="K216" s="16"/>
      <c r="L216" s="16"/>
      <c r="M216" s="16">
        <f t="shared" si="32"/>
        <v>0</v>
      </c>
      <c r="N216" s="16" t="str">
        <f t="shared" si="33"/>
        <v>#DIV/0!</v>
      </c>
      <c r="O216" s="16"/>
      <c r="P216" s="16"/>
      <c r="Q216" s="16"/>
    </row>
    <row r="217" ht="15.75" customHeight="1">
      <c r="A217" s="14">
        <f t="shared" si="40"/>
        <v>195</v>
      </c>
      <c r="B217" s="18"/>
      <c r="C217" s="14"/>
      <c r="D217" s="21"/>
      <c r="E217" s="15">
        <f t="shared" si="41"/>
        <v>0</v>
      </c>
      <c r="F217" s="12"/>
      <c r="G217" s="16"/>
      <c r="H217" s="16"/>
      <c r="I217" s="16"/>
      <c r="J217" s="17"/>
      <c r="K217" s="16"/>
      <c r="L217" s="16"/>
      <c r="M217" s="16">
        <f t="shared" si="32"/>
        <v>0</v>
      </c>
      <c r="N217" s="16" t="str">
        <f t="shared" si="33"/>
        <v>#DIV/0!</v>
      </c>
      <c r="O217" s="16"/>
      <c r="P217" s="16"/>
      <c r="Q217" s="16"/>
    </row>
    <row r="218" ht="15.75" customHeight="1">
      <c r="A218" s="14">
        <f t="shared" si="40"/>
        <v>196</v>
      </c>
      <c r="B218" s="18"/>
      <c r="C218" s="14"/>
      <c r="D218" s="21"/>
      <c r="E218" s="15">
        <f t="shared" si="41"/>
        <v>0</v>
      </c>
      <c r="F218" s="12"/>
      <c r="G218" s="16"/>
      <c r="H218" s="16"/>
      <c r="I218" s="16"/>
      <c r="J218" s="17"/>
      <c r="K218" s="16"/>
      <c r="L218" s="16"/>
      <c r="M218" s="16">
        <f t="shared" si="32"/>
        <v>0</v>
      </c>
      <c r="N218" s="16" t="str">
        <f t="shared" si="33"/>
        <v>#DIV/0!</v>
      </c>
      <c r="O218" s="16"/>
      <c r="P218" s="16"/>
      <c r="Q218" s="16"/>
    </row>
    <row r="219" ht="15.75" customHeight="1">
      <c r="A219" s="14">
        <f t="shared" si="40"/>
        <v>197</v>
      </c>
      <c r="B219" s="18"/>
      <c r="C219" s="14"/>
      <c r="D219" s="21"/>
      <c r="E219" s="15">
        <f t="shared" si="41"/>
        <v>0</v>
      </c>
      <c r="F219" s="12"/>
      <c r="G219" s="16"/>
      <c r="H219" s="16"/>
      <c r="I219" s="16"/>
      <c r="J219" s="17"/>
      <c r="K219" s="16"/>
      <c r="L219" s="16"/>
      <c r="M219" s="16">
        <f t="shared" si="32"/>
        <v>0</v>
      </c>
      <c r="N219" s="16" t="str">
        <f t="shared" si="33"/>
        <v>#DIV/0!</v>
      </c>
      <c r="O219" s="16"/>
      <c r="P219" s="16"/>
      <c r="Q219" s="16"/>
    </row>
    <row r="220" ht="15.75" customHeight="1">
      <c r="A220" s="14">
        <f t="shared" si="40"/>
        <v>198</v>
      </c>
      <c r="B220" s="18"/>
      <c r="C220" s="14"/>
      <c r="D220" s="21"/>
      <c r="E220" s="15">
        <f t="shared" si="41"/>
        <v>0</v>
      </c>
      <c r="F220" s="12"/>
      <c r="G220" s="16"/>
      <c r="H220" s="16"/>
      <c r="I220" s="16"/>
      <c r="J220" s="17"/>
      <c r="K220" s="16"/>
      <c r="L220" s="16"/>
      <c r="M220" s="16">
        <f t="shared" si="32"/>
        <v>0</v>
      </c>
      <c r="N220" s="16" t="str">
        <f t="shared" si="33"/>
        <v>#DIV/0!</v>
      </c>
      <c r="O220" s="16"/>
      <c r="P220" s="16"/>
      <c r="Q220" s="16"/>
    </row>
    <row r="221" ht="15.75" customHeight="1">
      <c r="A221" s="14">
        <f t="shared" si="40"/>
        <v>199</v>
      </c>
      <c r="B221" s="18"/>
      <c r="C221" s="14"/>
      <c r="D221" s="21"/>
      <c r="E221" s="15">
        <f t="shared" si="41"/>
        <v>0</v>
      </c>
      <c r="F221" s="12"/>
      <c r="G221" s="16"/>
      <c r="H221" s="16"/>
      <c r="I221" s="16"/>
      <c r="J221" s="17"/>
      <c r="K221" s="16"/>
      <c r="L221" s="16"/>
      <c r="M221" s="16">
        <f t="shared" si="32"/>
        <v>0</v>
      </c>
      <c r="N221" s="16" t="str">
        <f t="shared" si="33"/>
        <v>#DIV/0!</v>
      </c>
      <c r="O221" s="16"/>
      <c r="P221" s="16"/>
      <c r="Q221" s="16"/>
    </row>
    <row r="222" ht="15.75" customHeight="1">
      <c r="A222" s="14">
        <f t="shared" si="40"/>
        <v>200</v>
      </c>
      <c r="B222" s="18"/>
      <c r="C222" s="14"/>
      <c r="D222" s="21"/>
      <c r="E222" s="15">
        <f t="shared" si="41"/>
        <v>0</v>
      </c>
      <c r="F222" s="12"/>
      <c r="G222" s="16"/>
      <c r="H222" s="16"/>
      <c r="I222" s="16"/>
      <c r="J222" s="17"/>
      <c r="K222" s="16"/>
      <c r="L222" s="16"/>
      <c r="M222" s="16">
        <f t="shared" si="32"/>
        <v>0</v>
      </c>
      <c r="N222" s="16" t="str">
        <f t="shared" si="33"/>
        <v>#DIV/0!</v>
      </c>
      <c r="O222" s="16"/>
      <c r="P222" s="16"/>
      <c r="Q222" s="16"/>
    </row>
    <row r="223" ht="15.75" customHeight="1">
      <c r="A223" s="14">
        <f t="shared" si="40"/>
        <v>201</v>
      </c>
      <c r="B223" s="18"/>
      <c r="C223" s="14"/>
      <c r="D223" s="21"/>
      <c r="E223" s="15">
        <f t="shared" si="41"/>
        <v>0</v>
      </c>
      <c r="F223" s="12"/>
      <c r="G223" s="16"/>
      <c r="H223" s="16"/>
      <c r="I223" s="16"/>
      <c r="J223" s="17"/>
      <c r="K223" s="16"/>
      <c r="L223" s="16"/>
      <c r="M223" s="16">
        <f t="shared" si="32"/>
        <v>0</v>
      </c>
      <c r="N223" s="16" t="str">
        <f t="shared" si="33"/>
        <v>#DIV/0!</v>
      </c>
      <c r="O223" s="16"/>
      <c r="P223" s="16"/>
      <c r="Q223" s="16"/>
    </row>
    <row r="224" ht="15.75" customHeight="1">
      <c r="A224" s="14">
        <f t="shared" si="40"/>
        <v>202</v>
      </c>
      <c r="B224" s="18"/>
      <c r="C224" s="14"/>
      <c r="D224" s="21"/>
      <c r="E224" s="15">
        <f t="shared" si="41"/>
        <v>0</v>
      </c>
      <c r="F224" s="12"/>
      <c r="G224" s="16"/>
      <c r="H224" s="16"/>
      <c r="I224" s="16"/>
      <c r="J224" s="17"/>
      <c r="K224" s="16"/>
      <c r="L224" s="16"/>
      <c r="M224" s="16">
        <f t="shared" si="32"/>
        <v>0</v>
      </c>
      <c r="N224" s="16" t="str">
        <f t="shared" si="33"/>
        <v>#DIV/0!</v>
      </c>
      <c r="O224" s="16"/>
      <c r="P224" s="16"/>
      <c r="Q224" s="16"/>
    </row>
    <row r="225" ht="15.75" customHeight="1">
      <c r="A225" s="14">
        <f t="shared" si="40"/>
        <v>203</v>
      </c>
      <c r="B225" s="18"/>
      <c r="C225" s="14"/>
      <c r="D225" s="21"/>
      <c r="E225" s="15">
        <f t="shared" si="41"/>
        <v>0</v>
      </c>
      <c r="F225" s="12"/>
      <c r="G225" s="16"/>
      <c r="H225" s="16"/>
      <c r="I225" s="16"/>
      <c r="J225" s="17"/>
      <c r="K225" s="16"/>
      <c r="L225" s="16"/>
      <c r="M225" s="16">
        <f t="shared" si="32"/>
        <v>0</v>
      </c>
      <c r="N225" s="16" t="str">
        <f t="shared" si="33"/>
        <v>#DIV/0!</v>
      </c>
      <c r="O225" s="16"/>
      <c r="P225" s="16"/>
      <c r="Q225" s="16"/>
    </row>
    <row r="226" ht="15.75" customHeight="1">
      <c r="A226" s="14">
        <f t="shared" si="40"/>
        <v>204</v>
      </c>
      <c r="B226" s="18"/>
      <c r="C226" s="14"/>
      <c r="D226" s="21"/>
      <c r="E226" s="15">
        <f t="shared" si="41"/>
        <v>0</v>
      </c>
      <c r="F226" s="12"/>
      <c r="G226" s="16"/>
      <c r="H226" s="16"/>
      <c r="I226" s="16"/>
      <c r="J226" s="17"/>
      <c r="K226" s="16"/>
      <c r="L226" s="16"/>
      <c r="M226" s="16">
        <f t="shared" si="32"/>
        <v>0</v>
      </c>
      <c r="N226" s="16" t="str">
        <f t="shared" si="33"/>
        <v>#DIV/0!</v>
      </c>
      <c r="O226" s="16"/>
      <c r="P226" s="16"/>
      <c r="Q226" s="16"/>
    </row>
    <row r="227" ht="15.75" customHeight="1">
      <c r="A227" s="14">
        <f t="shared" si="40"/>
        <v>205</v>
      </c>
      <c r="B227" s="18"/>
      <c r="C227" s="14"/>
      <c r="D227" s="21"/>
      <c r="E227" s="15">
        <f t="shared" si="41"/>
        <v>0</v>
      </c>
      <c r="F227" s="12"/>
      <c r="G227" s="16"/>
      <c r="H227" s="16"/>
      <c r="I227" s="16"/>
      <c r="J227" s="17"/>
      <c r="K227" s="16"/>
      <c r="L227" s="16"/>
      <c r="M227" s="16">
        <f t="shared" si="32"/>
        <v>0</v>
      </c>
      <c r="N227" s="16" t="str">
        <f t="shared" si="33"/>
        <v>#DIV/0!</v>
      </c>
      <c r="O227" s="16"/>
      <c r="P227" s="16"/>
      <c r="Q227" s="16"/>
    </row>
    <row r="228" ht="15.75" customHeight="1">
      <c r="A228" s="14">
        <f t="shared" si="40"/>
        <v>206</v>
      </c>
      <c r="B228" s="18"/>
      <c r="C228" s="14"/>
      <c r="D228" s="21"/>
      <c r="E228" s="15">
        <f t="shared" si="41"/>
        <v>0</v>
      </c>
      <c r="F228" s="12"/>
      <c r="G228" s="16"/>
      <c r="H228" s="16"/>
      <c r="I228" s="16"/>
      <c r="J228" s="17"/>
      <c r="K228" s="16"/>
      <c r="L228" s="16"/>
      <c r="M228" s="16">
        <f t="shared" si="32"/>
        <v>0</v>
      </c>
      <c r="N228" s="16" t="str">
        <f t="shared" si="33"/>
        <v>#DIV/0!</v>
      </c>
      <c r="O228" s="16"/>
      <c r="P228" s="16"/>
      <c r="Q228" s="16"/>
    </row>
    <row r="229" ht="15.75" customHeight="1">
      <c r="A229" s="14">
        <f t="shared" si="40"/>
        <v>207</v>
      </c>
      <c r="B229" s="18"/>
      <c r="C229" s="14"/>
      <c r="D229" s="21"/>
      <c r="E229" s="15">
        <f t="shared" si="41"/>
        <v>0</v>
      </c>
      <c r="F229" s="12"/>
      <c r="G229" s="16"/>
      <c r="H229" s="16"/>
      <c r="I229" s="16"/>
      <c r="J229" s="17"/>
      <c r="K229" s="16"/>
      <c r="L229" s="16"/>
      <c r="M229" s="16">
        <f t="shared" si="32"/>
        <v>0</v>
      </c>
      <c r="N229" s="16" t="str">
        <f t="shared" si="33"/>
        <v>#DIV/0!</v>
      </c>
      <c r="O229" s="16"/>
      <c r="P229" s="16"/>
      <c r="Q229" s="16"/>
    </row>
    <row r="230" ht="15.75" customHeight="1">
      <c r="A230" s="14">
        <f t="shared" si="40"/>
        <v>208</v>
      </c>
      <c r="B230" s="18"/>
      <c r="C230" s="14"/>
      <c r="D230" s="21"/>
      <c r="E230" s="15">
        <f t="shared" si="41"/>
        <v>0</v>
      </c>
      <c r="F230" s="12"/>
      <c r="G230" s="16"/>
      <c r="H230" s="16"/>
      <c r="I230" s="16"/>
      <c r="J230" s="17"/>
      <c r="K230" s="16"/>
      <c r="L230" s="16"/>
      <c r="M230" s="16">
        <f t="shared" si="32"/>
        <v>0</v>
      </c>
      <c r="N230" s="16" t="str">
        <f t="shared" si="33"/>
        <v>#DIV/0!</v>
      </c>
      <c r="O230" s="16"/>
      <c r="P230" s="16"/>
      <c r="Q230" s="16"/>
    </row>
    <row r="231" ht="15.75" customHeight="1">
      <c r="A231" s="14">
        <f t="shared" si="40"/>
        <v>209</v>
      </c>
      <c r="B231" s="18"/>
      <c r="C231" s="14"/>
      <c r="D231" s="21"/>
      <c r="E231" s="15">
        <f t="shared" si="41"/>
        <v>0</v>
      </c>
      <c r="F231" s="12"/>
      <c r="G231" s="16"/>
      <c r="H231" s="16"/>
      <c r="I231" s="16"/>
      <c r="J231" s="17"/>
      <c r="K231" s="16"/>
      <c r="L231" s="16"/>
      <c r="M231" s="16">
        <f t="shared" si="32"/>
        <v>0</v>
      </c>
      <c r="N231" s="16" t="str">
        <f t="shared" si="33"/>
        <v>#DIV/0!</v>
      </c>
      <c r="O231" s="16"/>
      <c r="P231" s="16"/>
      <c r="Q231" s="16"/>
    </row>
    <row r="232" ht="15.75" customHeight="1">
      <c r="A232" s="14">
        <f t="shared" si="40"/>
        <v>210</v>
      </c>
      <c r="B232" s="18"/>
      <c r="C232" s="14"/>
      <c r="D232" s="21"/>
      <c r="E232" s="15">
        <f t="shared" si="41"/>
        <v>0</v>
      </c>
      <c r="F232" s="12"/>
      <c r="G232" s="16"/>
      <c r="H232" s="16"/>
      <c r="I232" s="16"/>
      <c r="J232" s="17"/>
      <c r="K232" s="16"/>
      <c r="L232" s="16"/>
      <c r="M232" s="16">
        <f t="shared" si="32"/>
        <v>0</v>
      </c>
      <c r="N232" s="16" t="str">
        <f t="shared" si="33"/>
        <v>#DIV/0!</v>
      </c>
      <c r="O232" s="16"/>
      <c r="P232" s="16"/>
      <c r="Q232" s="16"/>
    </row>
    <row r="233" ht="15.75" customHeight="1">
      <c r="A233" s="14">
        <f t="shared" si="40"/>
        <v>211</v>
      </c>
      <c r="B233" s="18"/>
      <c r="C233" s="14"/>
      <c r="D233" s="21"/>
      <c r="E233" s="15">
        <f t="shared" si="41"/>
        <v>0</v>
      </c>
      <c r="F233" s="12"/>
      <c r="G233" s="16"/>
      <c r="H233" s="16"/>
      <c r="I233" s="16"/>
      <c r="J233" s="17"/>
      <c r="K233" s="16"/>
      <c r="L233" s="16"/>
      <c r="M233" s="16">
        <f t="shared" si="32"/>
        <v>0</v>
      </c>
      <c r="N233" s="16" t="str">
        <f t="shared" si="33"/>
        <v>#DIV/0!</v>
      </c>
      <c r="O233" s="16"/>
      <c r="P233" s="16"/>
      <c r="Q233" s="16"/>
    </row>
    <row r="234" ht="15.75" customHeight="1">
      <c r="A234" s="14">
        <f t="shared" si="40"/>
        <v>212</v>
      </c>
      <c r="B234" s="18"/>
      <c r="C234" s="14"/>
      <c r="D234" s="21"/>
      <c r="E234" s="15">
        <f t="shared" si="41"/>
        <v>0</v>
      </c>
      <c r="F234" s="12"/>
      <c r="G234" s="16"/>
      <c r="H234" s="16"/>
      <c r="I234" s="16"/>
      <c r="J234" s="17"/>
      <c r="K234" s="16"/>
      <c r="L234" s="16"/>
      <c r="M234" s="16">
        <f t="shared" si="32"/>
        <v>0</v>
      </c>
      <c r="N234" s="16" t="str">
        <f t="shared" si="33"/>
        <v>#DIV/0!</v>
      </c>
      <c r="O234" s="16"/>
      <c r="P234" s="16"/>
      <c r="Q234" s="16"/>
    </row>
    <row r="235" ht="15.75" customHeight="1">
      <c r="A235" s="14">
        <f t="shared" si="40"/>
        <v>213</v>
      </c>
      <c r="B235" s="18"/>
      <c r="C235" s="14"/>
      <c r="D235" s="21"/>
      <c r="E235" s="15">
        <f t="shared" si="41"/>
        <v>0</v>
      </c>
      <c r="F235" s="12"/>
      <c r="G235" s="16"/>
      <c r="H235" s="16"/>
      <c r="I235" s="16"/>
      <c r="J235" s="17"/>
      <c r="K235" s="16"/>
      <c r="L235" s="16"/>
      <c r="M235" s="16">
        <f t="shared" si="32"/>
        <v>0</v>
      </c>
      <c r="N235" s="16" t="str">
        <f t="shared" si="33"/>
        <v>#DIV/0!</v>
      </c>
      <c r="O235" s="16"/>
      <c r="P235" s="16"/>
      <c r="Q235" s="16"/>
    </row>
    <row r="236" ht="15.75" customHeight="1">
      <c r="A236" s="14">
        <f t="shared" si="40"/>
        <v>214</v>
      </c>
      <c r="B236" s="18"/>
      <c r="C236" s="14"/>
      <c r="D236" s="21"/>
      <c r="E236" s="15">
        <f t="shared" si="41"/>
        <v>0</v>
      </c>
      <c r="F236" s="12"/>
      <c r="G236" s="16"/>
      <c r="H236" s="16"/>
      <c r="I236" s="16"/>
      <c r="J236" s="17"/>
      <c r="K236" s="16"/>
      <c r="L236" s="16"/>
      <c r="M236" s="16">
        <f t="shared" si="32"/>
        <v>0</v>
      </c>
      <c r="N236" s="16" t="str">
        <f t="shared" si="33"/>
        <v>#DIV/0!</v>
      </c>
      <c r="O236" s="16"/>
      <c r="P236" s="16"/>
      <c r="Q236" s="16"/>
    </row>
    <row r="237" ht="15.75" customHeight="1">
      <c r="A237" s="14">
        <f t="shared" si="40"/>
        <v>215</v>
      </c>
      <c r="B237" s="18"/>
      <c r="C237" s="14"/>
      <c r="D237" s="21"/>
      <c r="E237" s="15">
        <f t="shared" si="41"/>
        <v>0</v>
      </c>
      <c r="F237" s="12"/>
      <c r="G237" s="16"/>
      <c r="H237" s="16"/>
      <c r="I237" s="16"/>
      <c r="J237" s="17"/>
      <c r="K237" s="16"/>
      <c r="L237" s="16"/>
      <c r="M237" s="16">
        <f t="shared" si="32"/>
        <v>0</v>
      </c>
      <c r="N237" s="16" t="str">
        <f t="shared" si="33"/>
        <v>#DIV/0!</v>
      </c>
      <c r="O237" s="16"/>
      <c r="P237" s="16"/>
      <c r="Q237" s="16"/>
    </row>
    <row r="238" ht="15.75" customHeight="1">
      <c r="A238" s="14">
        <f t="shared" si="40"/>
        <v>216</v>
      </c>
      <c r="B238" s="18"/>
      <c r="C238" s="14"/>
      <c r="D238" s="21"/>
      <c r="E238" s="15">
        <f t="shared" si="41"/>
        <v>0</v>
      </c>
      <c r="F238" s="12"/>
      <c r="G238" s="16"/>
      <c r="H238" s="16"/>
      <c r="I238" s="16"/>
      <c r="J238" s="17"/>
      <c r="K238" s="16"/>
      <c r="L238" s="16"/>
      <c r="M238" s="16">
        <f t="shared" si="32"/>
        <v>0</v>
      </c>
      <c r="N238" s="16" t="str">
        <f t="shared" si="33"/>
        <v>#DIV/0!</v>
      </c>
      <c r="O238" s="16"/>
      <c r="P238" s="16"/>
      <c r="Q238" s="16"/>
    </row>
    <row r="239" ht="15.75" customHeight="1">
      <c r="A239" s="14">
        <f t="shared" si="40"/>
        <v>217</v>
      </c>
      <c r="B239" s="18"/>
      <c r="C239" s="14"/>
      <c r="D239" s="21"/>
      <c r="E239" s="15">
        <f t="shared" si="41"/>
        <v>0</v>
      </c>
      <c r="F239" s="12"/>
      <c r="G239" s="16"/>
      <c r="H239" s="16"/>
      <c r="I239" s="16"/>
      <c r="J239" s="17"/>
      <c r="K239" s="16"/>
      <c r="L239" s="16"/>
      <c r="M239" s="16">
        <f t="shared" si="32"/>
        <v>0</v>
      </c>
      <c r="N239" s="16" t="str">
        <f t="shared" si="33"/>
        <v>#DIV/0!</v>
      </c>
      <c r="O239" s="16"/>
      <c r="P239" s="16"/>
      <c r="Q239" s="16"/>
    </row>
    <row r="240" ht="15.75" customHeight="1">
      <c r="A240" s="14">
        <f t="shared" si="40"/>
        <v>218</v>
      </c>
      <c r="B240" s="18"/>
      <c r="C240" s="14"/>
      <c r="D240" s="21"/>
      <c r="E240" s="15">
        <f t="shared" si="41"/>
        <v>0</v>
      </c>
      <c r="F240" s="12"/>
      <c r="G240" s="16"/>
      <c r="H240" s="16"/>
      <c r="I240" s="16"/>
      <c r="J240" s="17"/>
      <c r="K240" s="16"/>
      <c r="L240" s="16"/>
      <c r="M240" s="16">
        <f t="shared" si="32"/>
        <v>0</v>
      </c>
      <c r="N240" s="16" t="str">
        <f t="shared" si="33"/>
        <v>#DIV/0!</v>
      </c>
      <c r="O240" s="16"/>
      <c r="P240" s="16"/>
      <c r="Q240" s="16"/>
    </row>
    <row r="241" ht="15.75" customHeight="1">
      <c r="A241" s="14">
        <f t="shared" si="40"/>
        <v>219</v>
      </c>
      <c r="B241" s="18"/>
      <c r="C241" s="14"/>
      <c r="D241" s="21"/>
      <c r="E241" s="15">
        <f t="shared" si="41"/>
        <v>0</v>
      </c>
      <c r="F241" s="12"/>
      <c r="G241" s="16"/>
      <c r="H241" s="16"/>
      <c r="I241" s="16"/>
      <c r="J241" s="17"/>
      <c r="K241" s="16"/>
      <c r="L241" s="16"/>
      <c r="M241" s="16">
        <f t="shared" si="32"/>
        <v>0</v>
      </c>
      <c r="N241" s="16" t="str">
        <f t="shared" si="33"/>
        <v>#DIV/0!</v>
      </c>
      <c r="O241" s="16"/>
      <c r="P241" s="16"/>
      <c r="Q241" s="16"/>
    </row>
    <row r="242" ht="15.75" customHeight="1">
      <c r="A242" s="14">
        <f t="shared" si="40"/>
        <v>220</v>
      </c>
      <c r="B242" s="18"/>
      <c r="C242" s="14"/>
      <c r="D242" s="21"/>
      <c r="E242" s="15">
        <f t="shared" si="41"/>
        <v>0</v>
      </c>
      <c r="F242" s="12"/>
      <c r="G242" s="16"/>
      <c r="H242" s="16"/>
      <c r="I242" s="16"/>
      <c r="J242" s="17"/>
      <c r="K242" s="16"/>
      <c r="L242" s="16"/>
      <c r="M242" s="16">
        <f t="shared" si="32"/>
        <v>0</v>
      </c>
      <c r="N242" s="16" t="str">
        <f t="shared" si="33"/>
        <v>#DIV/0!</v>
      </c>
      <c r="O242" s="16"/>
      <c r="P242" s="16"/>
      <c r="Q242" s="16"/>
    </row>
    <row r="243" ht="15.75" customHeight="1">
      <c r="A243" s="14">
        <f t="shared" si="40"/>
        <v>221</v>
      </c>
      <c r="B243" s="18"/>
      <c r="C243" s="14"/>
      <c r="D243" s="21"/>
      <c r="E243" s="15">
        <f t="shared" si="41"/>
        <v>0</v>
      </c>
      <c r="F243" s="12"/>
      <c r="G243" s="16"/>
      <c r="H243" s="16"/>
      <c r="I243" s="16"/>
      <c r="J243" s="17"/>
      <c r="K243" s="16"/>
      <c r="L243" s="16"/>
      <c r="M243" s="16">
        <f t="shared" si="32"/>
        <v>0</v>
      </c>
      <c r="N243" s="16" t="str">
        <f t="shared" si="33"/>
        <v>#DIV/0!</v>
      </c>
      <c r="O243" s="16"/>
      <c r="P243" s="16"/>
      <c r="Q243" s="16"/>
    </row>
    <row r="244" ht="15.75" customHeight="1">
      <c r="A244" s="14">
        <f t="shared" si="40"/>
        <v>222</v>
      </c>
      <c r="B244" s="18"/>
      <c r="C244" s="14"/>
      <c r="D244" s="21"/>
      <c r="E244" s="15">
        <f t="shared" si="41"/>
        <v>0</v>
      </c>
      <c r="F244" s="12"/>
      <c r="G244" s="16"/>
      <c r="H244" s="16"/>
      <c r="I244" s="16"/>
      <c r="J244" s="17"/>
      <c r="K244" s="16"/>
      <c r="L244" s="16"/>
      <c r="M244" s="16">
        <f t="shared" si="32"/>
        <v>0</v>
      </c>
      <c r="N244" s="16" t="str">
        <f t="shared" si="33"/>
        <v>#DIV/0!</v>
      </c>
      <c r="O244" s="16"/>
      <c r="P244" s="16"/>
      <c r="Q244" s="16"/>
    </row>
    <row r="245" ht="15.75" customHeight="1">
      <c r="A245" s="14">
        <f t="shared" si="40"/>
        <v>223</v>
      </c>
      <c r="B245" s="18"/>
      <c r="C245" s="14"/>
      <c r="D245" s="21"/>
      <c r="E245" s="15">
        <f t="shared" si="41"/>
        <v>0</v>
      </c>
      <c r="F245" s="12"/>
      <c r="G245" s="16"/>
      <c r="H245" s="16"/>
      <c r="I245" s="16"/>
      <c r="J245" s="17"/>
      <c r="K245" s="16"/>
      <c r="L245" s="16"/>
      <c r="M245" s="16">
        <f t="shared" si="32"/>
        <v>0</v>
      </c>
      <c r="N245" s="16" t="str">
        <f t="shared" si="33"/>
        <v>#DIV/0!</v>
      </c>
      <c r="O245" s="16"/>
      <c r="P245" s="16"/>
      <c r="Q245" s="16"/>
    </row>
    <row r="246" ht="15.75" customHeight="1">
      <c r="A246" s="14">
        <f t="shared" si="40"/>
        <v>224</v>
      </c>
      <c r="B246" s="18"/>
      <c r="C246" s="14"/>
      <c r="D246" s="21"/>
      <c r="E246" s="15">
        <f t="shared" si="41"/>
        <v>0</v>
      </c>
      <c r="F246" s="12"/>
      <c r="G246" s="16"/>
      <c r="H246" s="16"/>
      <c r="I246" s="16"/>
      <c r="J246" s="17"/>
      <c r="K246" s="16"/>
      <c r="L246" s="16"/>
      <c r="M246" s="16">
        <f t="shared" si="32"/>
        <v>0</v>
      </c>
      <c r="N246" s="16" t="str">
        <f t="shared" si="33"/>
        <v>#DIV/0!</v>
      </c>
      <c r="O246" s="16"/>
      <c r="P246" s="16"/>
      <c r="Q246" s="16"/>
    </row>
    <row r="247" ht="15.75" customHeight="1">
      <c r="A247" s="14">
        <f t="shared" si="40"/>
        <v>225</v>
      </c>
      <c r="B247" s="18"/>
      <c r="C247" s="14"/>
      <c r="D247" s="21"/>
      <c r="E247" s="15">
        <f t="shared" si="41"/>
        <v>0</v>
      </c>
      <c r="F247" s="12"/>
      <c r="G247" s="16"/>
      <c r="H247" s="16"/>
      <c r="I247" s="16"/>
      <c r="J247" s="17"/>
      <c r="K247" s="16"/>
      <c r="L247" s="16"/>
      <c r="M247" s="16">
        <f t="shared" si="32"/>
        <v>0</v>
      </c>
      <c r="N247" s="16" t="str">
        <f t="shared" si="33"/>
        <v>#DIV/0!</v>
      </c>
      <c r="O247" s="16"/>
      <c r="P247" s="16"/>
      <c r="Q247" s="16"/>
    </row>
    <row r="248" ht="15.75" customHeight="1">
      <c r="A248" s="14">
        <f t="shared" si="40"/>
        <v>226</v>
      </c>
      <c r="B248" s="18"/>
      <c r="C248" s="14"/>
      <c r="D248" s="21"/>
      <c r="E248" s="15">
        <f t="shared" si="41"/>
        <v>0</v>
      </c>
      <c r="F248" s="12"/>
      <c r="G248" s="16"/>
      <c r="H248" s="16"/>
      <c r="I248" s="16"/>
      <c r="J248" s="17"/>
      <c r="K248" s="16"/>
      <c r="L248" s="16"/>
      <c r="M248" s="16">
        <f t="shared" si="32"/>
        <v>0</v>
      </c>
      <c r="N248" s="16" t="str">
        <f t="shared" si="33"/>
        <v>#DIV/0!</v>
      </c>
      <c r="O248" s="16"/>
      <c r="P248" s="16"/>
      <c r="Q248" s="16"/>
    </row>
    <row r="249" ht="15.75" customHeight="1">
      <c r="A249" s="14">
        <f t="shared" si="40"/>
        <v>227</v>
      </c>
      <c r="B249" s="18"/>
      <c r="C249" s="14"/>
      <c r="D249" s="21"/>
      <c r="E249" s="15">
        <f t="shared" si="41"/>
        <v>0</v>
      </c>
      <c r="F249" s="12"/>
      <c r="G249" s="16"/>
      <c r="H249" s="16"/>
      <c r="I249" s="16"/>
      <c r="J249" s="17"/>
      <c r="K249" s="16"/>
      <c r="L249" s="16"/>
      <c r="M249" s="16">
        <f t="shared" si="32"/>
        <v>0</v>
      </c>
      <c r="N249" s="16" t="str">
        <f t="shared" si="33"/>
        <v>#DIV/0!</v>
      </c>
      <c r="O249" s="16"/>
      <c r="P249" s="16"/>
      <c r="Q249" s="16"/>
    </row>
    <row r="250" ht="15.75" customHeight="1">
      <c r="A250" s="14">
        <f t="shared" si="40"/>
        <v>228</v>
      </c>
      <c r="B250" s="18"/>
      <c r="C250" s="14"/>
      <c r="D250" s="21"/>
      <c r="E250" s="15">
        <f t="shared" si="41"/>
        <v>0</v>
      </c>
      <c r="F250" s="12"/>
      <c r="G250" s="16"/>
      <c r="H250" s="16"/>
      <c r="I250" s="16"/>
      <c r="J250" s="17"/>
      <c r="K250" s="16"/>
      <c r="L250" s="16"/>
      <c r="M250" s="16">
        <f t="shared" si="32"/>
        <v>0</v>
      </c>
      <c r="N250" s="16" t="str">
        <f t="shared" si="33"/>
        <v>#DIV/0!</v>
      </c>
      <c r="O250" s="16"/>
      <c r="P250" s="16"/>
      <c r="Q250" s="16"/>
    </row>
    <row r="251" ht="15.75" customHeight="1">
      <c r="A251" s="14">
        <f t="shared" si="40"/>
        <v>229</v>
      </c>
      <c r="B251" s="18"/>
      <c r="C251" s="14"/>
      <c r="D251" s="21"/>
      <c r="E251" s="15">
        <f t="shared" si="41"/>
        <v>0</v>
      </c>
      <c r="F251" s="12"/>
      <c r="G251" s="16"/>
      <c r="H251" s="16"/>
      <c r="I251" s="16"/>
      <c r="J251" s="17"/>
      <c r="K251" s="16"/>
      <c r="L251" s="16"/>
      <c r="M251" s="16">
        <f t="shared" si="32"/>
        <v>0</v>
      </c>
      <c r="N251" s="16" t="str">
        <f t="shared" si="33"/>
        <v>#DIV/0!</v>
      </c>
      <c r="O251" s="16"/>
      <c r="P251" s="16"/>
      <c r="Q251" s="16"/>
    </row>
    <row r="252" ht="15.75" customHeight="1">
      <c r="A252" s="14">
        <f t="shared" si="40"/>
        <v>230</v>
      </c>
      <c r="B252" s="18"/>
      <c r="C252" s="14"/>
      <c r="D252" s="21"/>
      <c r="E252" s="15">
        <f t="shared" si="41"/>
        <v>0</v>
      </c>
      <c r="F252" s="12"/>
      <c r="G252" s="16"/>
      <c r="H252" s="16"/>
      <c r="I252" s="16"/>
      <c r="J252" s="17"/>
      <c r="K252" s="16"/>
      <c r="L252" s="16"/>
      <c r="M252" s="16">
        <f t="shared" si="32"/>
        <v>0</v>
      </c>
      <c r="N252" s="16" t="str">
        <f t="shared" si="33"/>
        <v>#DIV/0!</v>
      </c>
      <c r="O252" s="16"/>
      <c r="P252" s="16"/>
      <c r="Q252" s="16"/>
    </row>
    <row r="253" ht="15.75" customHeight="1">
      <c r="A253" s="14">
        <f t="shared" si="40"/>
        <v>231</v>
      </c>
      <c r="B253" s="18"/>
      <c r="C253" s="14"/>
      <c r="D253" s="21"/>
      <c r="E253" s="15">
        <f t="shared" si="41"/>
        <v>0</v>
      </c>
      <c r="F253" s="12"/>
      <c r="G253" s="16"/>
      <c r="H253" s="16"/>
      <c r="I253" s="16"/>
      <c r="J253" s="17"/>
      <c r="K253" s="16"/>
      <c r="L253" s="16"/>
      <c r="M253" s="16">
        <f t="shared" si="32"/>
        <v>0</v>
      </c>
      <c r="N253" s="16" t="str">
        <f t="shared" si="33"/>
        <v>#DIV/0!</v>
      </c>
      <c r="O253" s="16"/>
      <c r="P253" s="16"/>
      <c r="Q253" s="16"/>
    </row>
    <row r="254" ht="15.75" customHeight="1">
      <c r="A254" s="14">
        <f t="shared" si="40"/>
        <v>232</v>
      </c>
      <c r="B254" s="18"/>
      <c r="C254" s="14"/>
      <c r="D254" s="21"/>
      <c r="E254" s="15">
        <f t="shared" si="41"/>
        <v>0</v>
      </c>
      <c r="F254" s="12"/>
      <c r="G254" s="16"/>
      <c r="H254" s="16"/>
      <c r="I254" s="16"/>
      <c r="J254" s="17"/>
      <c r="K254" s="16"/>
      <c r="L254" s="16"/>
      <c r="M254" s="16">
        <f t="shared" si="32"/>
        <v>0</v>
      </c>
      <c r="N254" s="16" t="str">
        <f t="shared" si="33"/>
        <v>#DIV/0!</v>
      </c>
      <c r="O254" s="16"/>
      <c r="P254" s="16"/>
      <c r="Q254" s="16"/>
    </row>
    <row r="255" ht="15.75" customHeight="1">
      <c r="A255" s="14">
        <f t="shared" si="40"/>
        <v>233</v>
      </c>
      <c r="B255" s="18"/>
      <c r="C255" s="14"/>
      <c r="D255" s="21"/>
      <c r="E255" s="15">
        <f t="shared" si="41"/>
        <v>0</v>
      </c>
      <c r="F255" s="12"/>
      <c r="G255" s="16"/>
      <c r="H255" s="16"/>
      <c r="I255" s="16"/>
      <c r="J255" s="17"/>
      <c r="K255" s="16"/>
      <c r="L255" s="16"/>
      <c r="M255" s="16">
        <f t="shared" si="32"/>
        <v>0</v>
      </c>
      <c r="N255" s="16" t="str">
        <f t="shared" si="33"/>
        <v>#DIV/0!</v>
      </c>
      <c r="O255" s="16"/>
      <c r="P255" s="16"/>
      <c r="Q255" s="16"/>
    </row>
    <row r="256" ht="15.75" customHeight="1">
      <c r="A256" s="14">
        <f t="shared" si="40"/>
        <v>234</v>
      </c>
      <c r="B256" s="18"/>
      <c r="C256" s="14"/>
      <c r="D256" s="21"/>
      <c r="E256" s="15">
        <f t="shared" si="41"/>
        <v>0</v>
      </c>
      <c r="F256" s="12"/>
      <c r="G256" s="16"/>
      <c r="H256" s="16"/>
      <c r="I256" s="16"/>
      <c r="J256" s="17"/>
      <c r="K256" s="16"/>
      <c r="L256" s="16"/>
      <c r="M256" s="16">
        <f t="shared" si="32"/>
        <v>0</v>
      </c>
      <c r="N256" s="16" t="str">
        <f t="shared" si="33"/>
        <v>#DIV/0!</v>
      </c>
      <c r="O256" s="16"/>
      <c r="P256" s="16"/>
      <c r="Q256" s="16"/>
    </row>
    <row r="257" ht="15.75" customHeight="1">
      <c r="A257" s="14">
        <f t="shared" si="40"/>
        <v>235</v>
      </c>
      <c r="B257" s="18"/>
      <c r="C257" s="14"/>
      <c r="D257" s="21"/>
      <c r="E257" s="15">
        <f t="shared" si="41"/>
        <v>0</v>
      </c>
      <c r="F257" s="12"/>
      <c r="G257" s="16"/>
      <c r="H257" s="16"/>
      <c r="I257" s="16"/>
      <c r="J257" s="17"/>
      <c r="K257" s="16"/>
      <c r="L257" s="16"/>
      <c r="M257" s="16">
        <f t="shared" si="32"/>
        <v>0</v>
      </c>
      <c r="N257" s="16" t="str">
        <f t="shared" si="33"/>
        <v>#DIV/0!</v>
      </c>
      <c r="O257" s="16"/>
      <c r="P257" s="16"/>
      <c r="Q257" s="16"/>
    </row>
    <row r="258" ht="15.75" customHeight="1">
      <c r="A258" s="14">
        <f t="shared" si="40"/>
        <v>236</v>
      </c>
      <c r="B258" s="18"/>
      <c r="C258" s="14"/>
      <c r="D258" s="21"/>
      <c r="E258" s="15">
        <f t="shared" si="41"/>
        <v>0</v>
      </c>
      <c r="F258" s="12"/>
      <c r="G258" s="16"/>
      <c r="H258" s="16"/>
      <c r="I258" s="16"/>
      <c r="J258" s="17"/>
      <c r="K258" s="16"/>
      <c r="L258" s="16"/>
      <c r="M258" s="16">
        <f t="shared" si="32"/>
        <v>0</v>
      </c>
      <c r="N258" s="16" t="str">
        <f t="shared" si="33"/>
        <v>#DIV/0!</v>
      </c>
      <c r="O258" s="16"/>
      <c r="P258" s="16"/>
      <c r="Q258" s="16"/>
    </row>
    <row r="259" ht="15.75" customHeight="1">
      <c r="A259" s="14">
        <f t="shared" si="40"/>
        <v>237</v>
      </c>
      <c r="B259" s="18"/>
      <c r="C259" s="14"/>
      <c r="D259" s="21"/>
      <c r="E259" s="15">
        <f t="shared" si="41"/>
        <v>0</v>
      </c>
      <c r="F259" s="12"/>
      <c r="G259" s="16"/>
      <c r="H259" s="16"/>
      <c r="I259" s="16"/>
      <c r="J259" s="17"/>
      <c r="K259" s="16"/>
      <c r="L259" s="16"/>
      <c r="M259" s="16">
        <f t="shared" si="32"/>
        <v>0</v>
      </c>
      <c r="N259" s="16" t="str">
        <f t="shared" si="33"/>
        <v>#DIV/0!</v>
      </c>
      <c r="O259" s="16"/>
      <c r="P259" s="16"/>
      <c r="Q259" s="16"/>
    </row>
    <row r="260" ht="15.75" customHeight="1">
      <c r="A260" s="14">
        <f t="shared" si="40"/>
        <v>238</v>
      </c>
      <c r="B260" s="18"/>
      <c r="C260" s="14"/>
      <c r="D260" s="21"/>
      <c r="E260" s="15">
        <f t="shared" si="41"/>
        <v>0</v>
      </c>
      <c r="F260" s="12"/>
      <c r="G260" s="16"/>
      <c r="H260" s="16"/>
      <c r="I260" s="16"/>
      <c r="J260" s="17"/>
      <c r="K260" s="16"/>
      <c r="L260" s="16"/>
      <c r="M260" s="16">
        <f t="shared" si="32"/>
        <v>0</v>
      </c>
      <c r="N260" s="16" t="str">
        <f t="shared" si="33"/>
        <v>#DIV/0!</v>
      </c>
      <c r="O260" s="16"/>
      <c r="P260" s="16"/>
      <c r="Q260" s="16"/>
    </row>
    <row r="261" ht="15.75" customHeight="1">
      <c r="A261" s="14">
        <f t="shared" si="40"/>
        <v>239</v>
      </c>
      <c r="B261" s="18"/>
      <c r="C261" s="14"/>
      <c r="D261" s="21"/>
      <c r="E261" s="15">
        <f t="shared" si="41"/>
        <v>0</v>
      </c>
      <c r="F261" s="12"/>
      <c r="G261" s="16"/>
      <c r="H261" s="16"/>
      <c r="I261" s="16"/>
      <c r="J261" s="17"/>
      <c r="K261" s="16"/>
      <c r="L261" s="16"/>
      <c r="M261" s="16">
        <f t="shared" si="32"/>
        <v>0</v>
      </c>
      <c r="N261" s="16" t="str">
        <f t="shared" si="33"/>
        <v>#DIV/0!</v>
      </c>
      <c r="O261" s="16"/>
      <c r="P261" s="16"/>
      <c r="Q261" s="16"/>
    </row>
    <row r="262" ht="15.75" customHeight="1">
      <c r="A262" s="14">
        <f t="shared" si="40"/>
        <v>240</v>
      </c>
      <c r="B262" s="18"/>
      <c r="C262" s="14"/>
      <c r="D262" s="21"/>
      <c r="E262" s="15">
        <f t="shared" si="41"/>
        <v>0</v>
      </c>
      <c r="F262" s="12"/>
      <c r="G262" s="16"/>
      <c r="H262" s="16"/>
      <c r="I262" s="16"/>
      <c r="J262" s="17"/>
      <c r="K262" s="16"/>
      <c r="L262" s="16"/>
      <c r="M262" s="16">
        <f t="shared" si="32"/>
        <v>0</v>
      </c>
      <c r="N262" s="16" t="str">
        <f t="shared" si="33"/>
        <v>#DIV/0!</v>
      </c>
      <c r="O262" s="16"/>
      <c r="P262" s="16"/>
      <c r="Q262" s="16"/>
    </row>
    <row r="263" ht="15.75" customHeight="1">
      <c r="A263" s="14">
        <f t="shared" si="40"/>
        <v>241</v>
      </c>
      <c r="B263" s="18"/>
      <c r="C263" s="14"/>
      <c r="D263" s="21"/>
      <c r="E263" s="15">
        <f t="shared" si="41"/>
        <v>0</v>
      </c>
      <c r="F263" s="12"/>
      <c r="G263" s="16"/>
      <c r="H263" s="16"/>
      <c r="I263" s="16"/>
      <c r="J263" s="17"/>
      <c r="K263" s="16"/>
      <c r="L263" s="16"/>
      <c r="M263" s="16">
        <f t="shared" si="32"/>
        <v>0</v>
      </c>
      <c r="N263" s="16" t="str">
        <f t="shared" si="33"/>
        <v>#DIV/0!</v>
      </c>
      <c r="O263" s="16"/>
      <c r="P263" s="16"/>
      <c r="Q263" s="16"/>
    </row>
    <row r="264" ht="15.75" customHeight="1">
      <c r="A264" s="14">
        <f t="shared" si="40"/>
        <v>242</v>
      </c>
      <c r="B264" s="18"/>
      <c r="C264" s="14"/>
      <c r="D264" s="21"/>
      <c r="E264" s="15">
        <f t="shared" si="41"/>
        <v>0</v>
      </c>
      <c r="F264" s="12"/>
      <c r="G264" s="16"/>
      <c r="H264" s="16"/>
      <c r="I264" s="16"/>
      <c r="J264" s="17"/>
      <c r="K264" s="16"/>
      <c r="L264" s="16"/>
      <c r="M264" s="16">
        <f t="shared" si="32"/>
        <v>0</v>
      </c>
      <c r="N264" s="16" t="str">
        <f t="shared" si="33"/>
        <v>#DIV/0!</v>
      </c>
      <c r="O264" s="16"/>
      <c r="P264" s="16"/>
      <c r="Q264" s="16"/>
    </row>
    <row r="265" ht="15.75" customHeight="1">
      <c r="A265" s="14">
        <f t="shared" si="40"/>
        <v>243</v>
      </c>
      <c r="B265" s="18"/>
      <c r="C265" s="14"/>
      <c r="D265" s="21"/>
      <c r="E265" s="15">
        <f t="shared" si="41"/>
        <v>0</v>
      </c>
      <c r="F265" s="12"/>
      <c r="G265" s="16"/>
      <c r="H265" s="16"/>
      <c r="I265" s="16"/>
      <c r="J265" s="17"/>
      <c r="K265" s="16"/>
      <c r="L265" s="16"/>
      <c r="M265" s="16">
        <f t="shared" si="32"/>
        <v>0</v>
      </c>
      <c r="N265" s="16" t="str">
        <f t="shared" si="33"/>
        <v>#DIV/0!</v>
      </c>
      <c r="O265" s="16"/>
      <c r="P265" s="16"/>
      <c r="Q265" s="16"/>
    </row>
    <row r="266" ht="15.75" customHeight="1">
      <c r="A266" s="14">
        <f t="shared" si="40"/>
        <v>244</v>
      </c>
      <c r="B266" s="18"/>
      <c r="C266" s="14"/>
      <c r="D266" s="21"/>
      <c r="E266" s="15">
        <f t="shared" si="41"/>
        <v>0</v>
      </c>
      <c r="F266" s="12"/>
      <c r="G266" s="16"/>
      <c r="H266" s="16"/>
      <c r="I266" s="16"/>
      <c r="J266" s="17"/>
      <c r="K266" s="16"/>
      <c r="L266" s="16"/>
      <c r="M266" s="16">
        <f t="shared" si="32"/>
        <v>0</v>
      </c>
      <c r="N266" s="16" t="str">
        <f t="shared" si="33"/>
        <v>#DIV/0!</v>
      </c>
      <c r="O266" s="16"/>
      <c r="P266" s="16"/>
      <c r="Q266" s="16"/>
    </row>
    <row r="267" ht="15.75" customHeight="1">
      <c r="A267" s="14">
        <f t="shared" si="40"/>
        <v>245</v>
      </c>
      <c r="B267" s="18"/>
      <c r="C267" s="14"/>
      <c r="D267" s="21"/>
      <c r="E267" s="15">
        <f t="shared" si="41"/>
        <v>0</v>
      </c>
      <c r="F267" s="12"/>
      <c r="G267" s="16"/>
      <c r="H267" s="16"/>
      <c r="I267" s="16"/>
      <c r="J267" s="17"/>
      <c r="K267" s="16"/>
      <c r="L267" s="16"/>
      <c r="M267" s="16">
        <f t="shared" si="32"/>
        <v>0</v>
      </c>
      <c r="N267" s="16" t="str">
        <f t="shared" si="33"/>
        <v>#DIV/0!</v>
      </c>
      <c r="O267" s="16"/>
      <c r="P267" s="16"/>
      <c r="Q267" s="16"/>
    </row>
    <row r="268" ht="15.75" customHeight="1">
      <c r="A268" s="14">
        <f t="shared" si="40"/>
        <v>246</v>
      </c>
      <c r="B268" s="18"/>
      <c r="C268" s="14"/>
      <c r="D268" s="21"/>
      <c r="E268" s="15">
        <f t="shared" si="41"/>
        <v>0</v>
      </c>
      <c r="F268" s="12"/>
      <c r="G268" s="16"/>
      <c r="H268" s="16"/>
      <c r="I268" s="16"/>
      <c r="J268" s="17"/>
      <c r="K268" s="16"/>
      <c r="L268" s="16"/>
      <c r="M268" s="16">
        <f t="shared" si="32"/>
        <v>0</v>
      </c>
      <c r="N268" s="16" t="str">
        <f t="shared" si="33"/>
        <v>#DIV/0!</v>
      </c>
      <c r="O268" s="16"/>
      <c r="P268" s="16"/>
      <c r="Q268" s="16"/>
    </row>
    <row r="269" ht="15.75" customHeight="1">
      <c r="A269" s="14">
        <f t="shared" si="40"/>
        <v>247</v>
      </c>
      <c r="B269" s="18"/>
      <c r="C269" s="14"/>
      <c r="D269" s="21"/>
      <c r="E269" s="15">
        <f t="shared" si="41"/>
        <v>0</v>
      </c>
      <c r="F269" s="12"/>
      <c r="G269" s="16"/>
      <c r="H269" s="16"/>
      <c r="I269" s="16"/>
      <c r="J269" s="17"/>
      <c r="K269" s="16"/>
      <c r="L269" s="16"/>
      <c r="M269" s="16">
        <f t="shared" si="32"/>
        <v>0</v>
      </c>
      <c r="N269" s="16" t="str">
        <f t="shared" si="33"/>
        <v>#DIV/0!</v>
      </c>
      <c r="O269" s="16"/>
      <c r="P269" s="16"/>
      <c r="Q269" s="16"/>
    </row>
    <row r="270" ht="15.75" customHeight="1">
      <c r="A270" s="14">
        <f t="shared" si="40"/>
        <v>248</v>
      </c>
      <c r="B270" s="18"/>
      <c r="C270" s="14"/>
      <c r="D270" s="21"/>
      <c r="E270" s="15">
        <f t="shared" si="41"/>
        <v>0</v>
      </c>
      <c r="F270" s="12"/>
      <c r="G270" s="16"/>
      <c r="H270" s="16"/>
      <c r="I270" s="16"/>
      <c r="J270" s="17"/>
      <c r="K270" s="16"/>
      <c r="L270" s="16"/>
      <c r="M270" s="16">
        <f t="shared" si="32"/>
        <v>0</v>
      </c>
      <c r="N270" s="16" t="str">
        <f t="shared" si="33"/>
        <v>#DIV/0!</v>
      </c>
      <c r="O270" s="16"/>
      <c r="P270" s="16"/>
      <c r="Q270" s="16"/>
    </row>
    <row r="271" ht="15.75" customHeight="1">
      <c r="A271" s="14">
        <f t="shared" si="40"/>
        <v>249</v>
      </c>
      <c r="B271" s="18"/>
      <c r="C271" s="14"/>
      <c r="D271" s="21"/>
      <c r="E271" s="15">
        <f t="shared" si="41"/>
        <v>0</v>
      </c>
      <c r="F271" s="12"/>
      <c r="G271" s="16"/>
      <c r="H271" s="16"/>
      <c r="I271" s="16"/>
      <c r="J271" s="17"/>
      <c r="K271" s="16"/>
      <c r="L271" s="16"/>
      <c r="M271" s="16">
        <f t="shared" si="32"/>
        <v>0</v>
      </c>
      <c r="N271" s="16" t="str">
        <f t="shared" si="33"/>
        <v>#DIV/0!</v>
      </c>
      <c r="O271" s="16"/>
      <c r="P271" s="16"/>
      <c r="Q271" s="16"/>
    </row>
    <row r="272" ht="15.75" customHeight="1">
      <c r="A272" s="14">
        <f t="shared" si="40"/>
        <v>250</v>
      </c>
      <c r="B272" s="18"/>
      <c r="C272" s="14"/>
      <c r="D272" s="21"/>
      <c r="E272" s="15">
        <f t="shared" si="41"/>
        <v>0</v>
      </c>
      <c r="F272" s="12"/>
      <c r="G272" s="16"/>
      <c r="H272" s="16"/>
      <c r="I272" s="16"/>
      <c r="J272" s="17"/>
      <c r="K272" s="16"/>
      <c r="L272" s="16"/>
      <c r="M272" s="16">
        <f t="shared" si="32"/>
        <v>0</v>
      </c>
      <c r="N272" s="16" t="str">
        <f t="shared" si="33"/>
        <v>#DIV/0!</v>
      </c>
      <c r="O272" s="16"/>
      <c r="P272" s="16"/>
      <c r="Q272" s="16"/>
    </row>
    <row r="273" ht="15.75" customHeight="1">
      <c r="A273" s="14">
        <f t="shared" si="40"/>
        <v>251</v>
      </c>
      <c r="B273" s="18"/>
      <c r="C273" s="14"/>
      <c r="D273" s="21"/>
      <c r="E273" s="15">
        <f t="shared" si="41"/>
        <v>0</v>
      </c>
      <c r="F273" s="12"/>
      <c r="G273" s="16"/>
      <c r="H273" s="16"/>
      <c r="I273" s="16"/>
      <c r="J273" s="17"/>
      <c r="K273" s="16"/>
      <c r="L273" s="16"/>
      <c r="M273" s="16">
        <f t="shared" si="32"/>
        <v>0</v>
      </c>
      <c r="N273" s="16" t="str">
        <f t="shared" si="33"/>
        <v>#DIV/0!</v>
      </c>
      <c r="O273" s="16"/>
      <c r="P273" s="16"/>
      <c r="Q273" s="16"/>
    </row>
    <row r="274" ht="15.75" customHeight="1">
      <c r="A274" s="14">
        <f t="shared" si="40"/>
        <v>252</v>
      </c>
      <c r="B274" s="18"/>
      <c r="C274" s="14"/>
      <c r="D274" s="21"/>
      <c r="E274" s="15">
        <f t="shared" si="41"/>
        <v>0</v>
      </c>
      <c r="F274" s="12"/>
      <c r="G274" s="16"/>
      <c r="H274" s="16"/>
      <c r="I274" s="16"/>
      <c r="J274" s="17"/>
      <c r="K274" s="16"/>
      <c r="L274" s="16"/>
      <c r="M274" s="16">
        <f t="shared" si="32"/>
        <v>0</v>
      </c>
      <c r="N274" s="16" t="str">
        <f t="shared" si="33"/>
        <v>#DIV/0!</v>
      </c>
      <c r="O274" s="16"/>
      <c r="P274" s="16"/>
      <c r="Q274" s="16"/>
    </row>
    <row r="275" ht="15.75" customHeight="1">
      <c r="A275" s="14">
        <f t="shared" si="40"/>
        <v>253</v>
      </c>
      <c r="B275" s="18"/>
      <c r="C275" s="14"/>
      <c r="D275" s="21"/>
      <c r="E275" s="15">
        <f t="shared" si="41"/>
        <v>0</v>
      </c>
      <c r="F275" s="12"/>
      <c r="G275" s="16"/>
      <c r="H275" s="16"/>
      <c r="I275" s="16"/>
      <c r="J275" s="17"/>
      <c r="K275" s="16"/>
      <c r="L275" s="16"/>
      <c r="M275" s="16">
        <f t="shared" si="32"/>
        <v>0</v>
      </c>
      <c r="N275" s="16" t="str">
        <f t="shared" si="33"/>
        <v>#DIV/0!</v>
      </c>
      <c r="O275" s="16"/>
      <c r="P275" s="16"/>
      <c r="Q275" s="16"/>
    </row>
    <row r="276" ht="15.75" customHeight="1">
      <c r="A276" s="14">
        <f t="shared" si="40"/>
        <v>254</v>
      </c>
      <c r="B276" s="18"/>
      <c r="C276" s="14"/>
      <c r="D276" s="21"/>
      <c r="E276" s="15">
        <f t="shared" si="41"/>
        <v>0</v>
      </c>
      <c r="F276" s="12"/>
      <c r="G276" s="16"/>
      <c r="H276" s="16"/>
      <c r="I276" s="16"/>
      <c r="J276" s="17"/>
      <c r="K276" s="16"/>
      <c r="L276" s="16"/>
      <c r="M276" s="16">
        <f t="shared" si="32"/>
        <v>0</v>
      </c>
      <c r="N276" s="16" t="str">
        <f t="shared" si="33"/>
        <v>#DIV/0!</v>
      </c>
      <c r="O276" s="16"/>
      <c r="P276" s="16"/>
      <c r="Q276" s="16"/>
    </row>
    <row r="277" ht="15.75" customHeight="1">
      <c r="A277" s="14">
        <f t="shared" si="40"/>
        <v>255</v>
      </c>
      <c r="B277" s="18"/>
      <c r="C277" s="14"/>
      <c r="D277" s="21"/>
      <c r="E277" s="15">
        <f t="shared" si="41"/>
        <v>0</v>
      </c>
      <c r="F277" s="12"/>
      <c r="G277" s="16"/>
      <c r="H277" s="16"/>
      <c r="I277" s="16"/>
      <c r="J277" s="17"/>
      <c r="K277" s="16"/>
      <c r="L277" s="16"/>
      <c r="M277" s="16">
        <f t="shared" si="32"/>
        <v>0</v>
      </c>
      <c r="N277" s="16" t="str">
        <f t="shared" si="33"/>
        <v>#DIV/0!</v>
      </c>
      <c r="O277" s="16"/>
      <c r="P277" s="16"/>
      <c r="Q277" s="16"/>
    </row>
    <row r="278" ht="15.75" customHeight="1">
      <c r="A278" s="14">
        <f t="shared" si="40"/>
        <v>256</v>
      </c>
      <c r="B278" s="18"/>
      <c r="C278" s="14"/>
      <c r="D278" s="21"/>
      <c r="E278" s="15">
        <f t="shared" si="41"/>
        <v>0</v>
      </c>
      <c r="F278" s="12"/>
      <c r="G278" s="16"/>
      <c r="H278" s="16"/>
      <c r="I278" s="16"/>
      <c r="J278" s="17"/>
      <c r="K278" s="16"/>
      <c r="L278" s="16"/>
      <c r="M278" s="16">
        <f t="shared" si="32"/>
        <v>0</v>
      </c>
      <c r="N278" s="16" t="str">
        <f t="shared" si="33"/>
        <v>#DIV/0!</v>
      </c>
      <c r="O278" s="16"/>
      <c r="P278" s="16"/>
      <c r="Q278" s="16"/>
    </row>
    <row r="279" ht="15.75" customHeight="1">
      <c r="A279" s="14">
        <f t="shared" si="40"/>
        <v>257</v>
      </c>
      <c r="B279" s="18"/>
      <c r="C279" s="14"/>
      <c r="D279" s="21"/>
      <c r="E279" s="15">
        <f t="shared" si="41"/>
        <v>0</v>
      </c>
      <c r="F279" s="12"/>
      <c r="G279" s="16"/>
      <c r="H279" s="16"/>
      <c r="I279" s="16"/>
      <c r="J279" s="17"/>
      <c r="K279" s="16"/>
      <c r="L279" s="16"/>
      <c r="M279" s="16">
        <f t="shared" si="32"/>
        <v>0</v>
      </c>
      <c r="N279" s="16" t="str">
        <f t="shared" si="33"/>
        <v>#DIV/0!</v>
      </c>
      <c r="O279" s="16"/>
      <c r="P279" s="16"/>
      <c r="Q279" s="16"/>
    </row>
    <row r="280" ht="15.75" customHeight="1">
      <c r="A280" s="14">
        <f t="shared" si="40"/>
        <v>258</v>
      </c>
      <c r="B280" s="18"/>
      <c r="C280" s="14"/>
      <c r="D280" s="21"/>
      <c r="E280" s="15">
        <f t="shared" si="41"/>
        <v>0</v>
      </c>
      <c r="F280" s="12"/>
      <c r="G280" s="16"/>
      <c r="H280" s="16"/>
      <c r="I280" s="16"/>
      <c r="J280" s="17"/>
      <c r="K280" s="16"/>
      <c r="L280" s="16"/>
      <c r="M280" s="16">
        <f t="shared" si="32"/>
        <v>0</v>
      </c>
      <c r="N280" s="16" t="str">
        <f t="shared" si="33"/>
        <v>#DIV/0!</v>
      </c>
      <c r="O280" s="16"/>
      <c r="P280" s="16"/>
      <c r="Q280" s="16"/>
    </row>
    <row r="281" ht="15.75" customHeight="1">
      <c r="A281" s="14">
        <f t="shared" si="40"/>
        <v>259</v>
      </c>
      <c r="B281" s="18"/>
      <c r="C281" s="14"/>
      <c r="D281" s="21"/>
      <c r="E281" s="15">
        <f t="shared" si="41"/>
        <v>0</v>
      </c>
      <c r="F281" s="12"/>
      <c r="G281" s="16"/>
      <c r="H281" s="16"/>
      <c r="I281" s="16"/>
      <c r="J281" s="17"/>
      <c r="K281" s="16"/>
      <c r="L281" s="16"/>
      <c r="M281" s="16">
        <f t="shared" si="32"/>
        <v>0</v>
      </c>
      <c r="N281" s="16" t="str">
        <f t="shared" si="33"/>
        <v>#DIV/0!</v>
      </c>
      <c r="O281" s="16"/>
      <c r="P281" s="16"/>
      <c r="Q281" s="16"/>
    </row>
    <row r="282" ht="15.75" customHeight="1">
      <c r="A282" s="14">
        <f t="shared" si="40"/>
        <v>260</v>
      </c>
      <c r="B282" s="18"/>
      <c r="C282" s="14"/>
      <c r="D282" s="21"/>
      <c r="E282" s="15">
        <f t="shared" si="41"/>
        <v>0</v>
      </c>
      <c r="F282" s="12"/>
      <c r="G282" s="16"/>
      <c r="H282" s="16"/>
      <c r="I282" s="16"/>
      <c r="J282" s="17"/>
      <c r="K282" s="16"/>
      <c r="L282" s="16"/>
      <c r="M282" s="16">
        <f t="shared" si="32"/>
        <v>0</v>
      </c>
      <c r="N282" s="16" t="str">
        <f t="shared" si="33"/>
        <v>#DIV/0!</v>
      </c>
      <c r="O282" s="16"/>
      <c r="P282" s="16"/>
      <c r="Q282" s="16"/>
    </row>
    <row r="283" ht="15.75" customHeight="1">
      <c r="A283" s="14">
        <f t="shared" si="40"/>
        <v>261</v>
      </c>
      <c r="B283" s="18"/>
      <c r="C283" s="14"/>
      <c r="D283" s="21"/>
      <c r="E283" s="15">
        <f t="shared" si="41"/>
        <v>0</v>
      </c>
      <c r="F283" s="12"/>
      <c r="G283" s="16"/>
      <c r="H283" s="16"/>
      <c r="I283" s="16"/>
      <c r="J283" s="17"/>
      <c r="K283" s="16"/>
      <c r="L283" s="16"/>
      <c r="M283" s="16">
        <f t="shared" si="32"/>
        <v>0</v>
      </c>
      <c r="N283" s="16" t="str">
        <f t="shared" si="33"/>
        <v>#DIV/0!</v>
      </c>
      <c r="O283" s="16"/>
      <c r="P283" s="16"/>
      <c r="Q283" s="16"/>
    </row>
    <row r="284" ht="15.75" customHeight="1">
      <c r="A284" s="14">
        <f t="shared" si="40"/>
        <v>262</v>
      </c>
      <c r="B284" s="18"/>
      <c r="C284" s="14"/>
      <c r="D284" s="21"/>
      <c r="E284" s="15">
        <f t="shared" si="41"/>
        <v>0</v>
      </c>
      <c r="F284" s="12"/>
      <c r="G284" s="16"/>
      <c r="H284" s="16"/>
      <c r="I284" s="16"/>
      <c r="J284" s="17"/>
      <c r="K284" s="16"/>
      <c r="L284" s="16"/>
      <c r="M284" s="16">
        <f t="shared" si="32"/>
        <v>0</v>
      </c>
      <c r="N284" s="16" t="str">
        <f t="shared" si="33"/>
        <v>#DIV/0!</v>
      </c>
      <c r="O284" s="16"/>
      <c r="P284" s="16"/>
      <c r="Q284" s="16"/>
    </row>
    <row r="285" ht="15.75" customHeight="1">
      <c r="A285" s="14">
        <f t="shared" si="40"/>
        <v>263</v>
      </c>
      <c r="B285" s="18"/>
      <c r="C285" s="14"/>
      <c r="D285" s="21"/>
      <c r="E285" s="15">
        <f t="shared" si="41"/>
        <v>0</v>
      </c>
      <c r="F285" s="12"/>
      <c r="G285" s="16"/>
      <c r="H285" s="16"/>
      <c r="I285" s="16"/>
      <c r="J285" s="17"/>
      <c r="K285" s="16"/>
      <c r="L285" s="16"/>
      <c r="M285" s="16">
        <f t="shared" si="32"/>
        <v>0</v>
      </c>
      <c r="N285" s="16" t="str">
        <f t="shared" si="33"/>
        <v>#DIV/0!</v>
      </c>
      <c r="O285" s="16"/>
      <c r="P285" s="16"/>
      <c r="Q285" s="16"/>
    </row>
    <row r="286" ht="15.75" customHeight="1">
      <c r="A286" s="14">
        <f t="shared" si="40"/>
        <v>264</v>
      </c>
      <c r="B286" s="18"/>
      <c r="C286" s="14"/>
      <c r="D286" s="21"/>
      <c r="E286" s="15">
        <f t="shared" si="41"/>
        <v>0</v>
      </c>
      <c r="F286" s="12"/>
      <c r="G286" s="16"/>
      <c r="H286" s="16"/>
      <c r="I286" s="16"/>
      <c r="J286" s="17"/>
      <c r="K286" s="16"/>
      <c r="L286" s="16"/>
      <c r="M286" s="16">
        <f t="shared" si="32"/>
        <v>0</v>
      </c>
      <c r="N286" s="16" t="str">
        <f t="shared" si="33"/>
        <v>#DIV/0!</v>
      </c>
      <c r="O286" s="16"/>
      <c r="P286" s="16"/>
      <c r="Q286" s="16"/>
    </row>
    <row r="287" ht="15.75" customHeight="1">
      <c r="A287" s="14">
        <f t="shared" si="40"/>
        <v>265</v>
      </c>
      <c r="B287" s="18"/>
      <c r="C287" s="14"/>
      <c r="D287" s="21"/>
      <c r="E287" s="15">
        <f t="shared" si="41"/>
        <v>0</v>
      </c>
      <c r="F287" s="12"/>
      <c r="G287" s="16"/>
      <c r="H287" s="16"/>
      <c r="I287" s="16"/>
      <c r="J287" s="17"/>
      <c r="K287" s="16"/>
      <c r="L287" s="16"/>
      <c r="M287" s="16">
        <f t="shared" si="32"/>
        <v>0</v>
      </c>
      <c r="N287" s="16" t="str">
        <f t="shared" si="33"/>
        <v>#DIV/0!</v>
      </c>
      <c r="O287" s="16"/>
      <c r="P287" s="16"/>
      <c r="Q287" s="16"/>
    </row>
    <row r="288" ht="15.75" customHeight="1">
      <c r="A288" s="14">
        <f t="shared" si="40"/>
        <v>266</v>
      </c>
      <c r="B288" s="18"/>
      <c r="C288" s="14"/>
      <c r="D288" s="21"/>
      <c r="E288" s="15">
        <f t="shared" si="41"/>
        <v>0</v>
      </c>
      <c r="F288" s="12"/>
      <c r="G288" s="16"/>
      <c r="H288" s="16"/>
      <c r="I288" s="16"/>
      <c r="J288" s="17"/>
      <c r="K288" s="16"/>
      <c r="L288" s="16"/>
      <c r="M288" s="16">
        <f t="shared" si="32"/>
        <v>0</v>
      </c>
      <c r="N288" s="16" t="str">
        <f t="shared" si="33"/>
        <v>#DIV/0!</v>
      </c>
      <c r="O288" s="16"/>
      <c r="P288" s="16"/>
      <c r="Q288" s="16"/>
    </row>
    <row r="289" ht="15.75" customHeight="1">
      <c r="A289" s="14">
        <f t="shared" si="40"/>
        <v>267</v>
      </c>
      <c r="B289" s="18"/>
      <c r="C289" s="14"/>
      <c r="D289" s="21"/>
      <c r="E289" s="15">
        <f t="shared" si="41"/>
        <v>0</v>
      </c>
      <c r="F289" s="12"/>
      <c r="G289" s="16"/>
      <c r="H289" s="16"/>
      <c r="I289" s="16"/>
      <c r="J289" s="17"/>
      <c r="K289" s="16"/>
      <c r="L289" s="16"/>
      <c r="M289" s="16">
        <f t="shared" si="32"/>
        <v>0</v>
      </c>
      <c r="N289" s="16" t="str">
        <f t="shared" si="33"/>
        <v>#DIV/0!</v>
      </c>
      <c r="O289" s="16"/>
      <c r="P289" s="16"/>
      <c r="Q289" s="16"/>
    </row>
    <row r="290" ht="15.75" customHeight="1">
      <c r="A290" s="14">
        <f t="shared" si="40"/>
        <v>268</v>
      </c>
      <c r="B290" s="18"/>
      <c r="C290" s="14"/>
      <c r="D290" s="21"/>
      <c r="E290" s="15">
        <f t="shared" si="41"/>
        <v>0</v>
      </c>
      <c r="F290" s="12"/>
      <c r="G290" s="16"/>
      <c r="H290" s="16"/>
      <c r="I290" s="16"/>
      <c r="J290" s="17"/>
      <c r="K290" s="16"/>
      <c r="L290" s="16"/>
      <c r="M290" s="16">
        <f t="shared" si="32"/>
        <v>0</v>
      </c>
      <c r="N290" s="16" t="str">
        <f t="shared" si="33"/>
        <v>#DIV/0!</v>
      </c>
      <c r="O290" s="16"/>
      <c r="P290" s="16"/>
      <c r="Q290" s="16"/>
    </row>
    <row r="291" ht="15.75" customHeight="1">
      <c r="A291" s="14">
        <f t="shared" si="40"/>
        <v>269</v>
      </c>
      <c r="B291" s="18"/>
      <c r="C291" s="14"/>
      <c r="D291" s="21"/>
      <c r="E291" s="15">
        <f t="shared" si="41"/>
        <v>0</v>
      </c>
      <c r="F291" s="12"/>
      <c r="G291" s="16"/>
      <c r="H291" s="16"/>
      <c r="I291" s="16"/>
      <c r="J291" s="17"/>
      <c r="K291" s="16"/>
      <c r="L291" s="16"/>
      <c r="M291" s="16">
        <f t="shared" si="32"/>
        <v>0</v>
      </c>
      <c r="N291" s="16" t="str">
        <f t="shared" si="33"/>
        <v>#DIV/0!</v>
      </c>
      <c r="O291" s="16"/>
      <c r="P291" s="16"/>
      <c r="Q291" s="16"/>
    </row>
    <row r="292" ht="15.75" customHeight="1">
      <c r="A292" s="14">
        <f t="shared" si="40"/>
        <v>270</v>
      </c>
      <c r="B292" s="18"/>
      <c r="C292" s="14"/>
      <c r="D292" s="21"/>
      <c r="E292" s="15">
        <f t="shared" si="41"/>
        <v>0</v>
      </c>
      <c r="F292" s="12"/>
      <c r="G292" s="16"/>
      <c r="H292" s="16"/>
      <c r="I292" s="16"/>
      <c r="J292" s="17"/>
      <c r="K292" s="16"/>
      <c r="L292" s="16"/>
      <c r="M292" s="16">
        <f t="shared" si="32"/>
        <v>0</v>
      </c>
      <c r="N292" s="16" t="str">
        <f t="shared" si="33"/>
        <v>#DIV/0!</v>
      </c>
      <c r="O292" s="16"/>
      <c r="P292" s="16"/>
      <c r="Q292" s="16"/>
    </row>
    <row r="293" ht="15.75" customHeight="1">
      <c r="A293" s="14">
        <f t="shared" si="40"/>
        <v>271</v>
      </c>
      <c r="B293" s="18"/>
      <c r="C293" s="14"/>
      <c r="D293" s="21"/>
      <c r="E293" s="15">
        <f t="shared" si="41"/>
        <v>0</v>
      </c>
      <c r="F293" s="12"/>
      <c r="G293" s="16"/>
      <c r="H293" s="16"/>
      <c r="I293" s="16"/>
      <c r="J293" s="17"/>
      <c r="K293" s="16"/>
      <c r="L293" s="16"/>
      <c r="M293" s="16">
        <f t="shared" si="32"/>
        <v>0</v>
      </c>
      <c r="N293" s="16" t="str">
        <f t="shared" si="33"/>
        <v>#DIV/0!</v>
      </c>
      <c r="O293" s="16"/>
      <c r="P293" s="16"/>
      <c r="Q293" s="16"/>
    </row>
    <row r="294" ht="15.75" customHeight="1">
      <c r="A294" s="14">
        <f t="shared" si="40"/>
        <v>272</v>
      </c>
      <c r="B294" s="18"/>
      <c r="C294" s="14"/>
      <c r="D294" s="21"/>
      <c r="E294" s="15">
        <f t="shared" si="41"/>
        <v>0</v>
      </c>
      <c r="F294" s="12"/>
      <c r="G294" s="16"/>
      <c r="H294" s="16"/>
      <c r="I294" s="16"/>
      <c r="J294" s="17"/>
      <c r="K294" s="16"/>
      <c r="L294" s="16"/>
      <c r="M294" s="16">
        <f t="shared" si="32"/>
        <v>0</v>
      </c>
      <c r="N294" s="16" t="str">
        <f t="shared" si="33"/>
        <v>#DIV/0!</v>
      </c>
      <c r="O294" s="16"/>
      <c r="P294" s="16"/>
      <c r="Q294" s="16"/>
    </row>
    <row r="295" ht="15.75" customHeight="1">
      <c r="A295" s="14">
        <f t="shared" si="40"/>
        <v>273</v>
      </c>
      <c r="B295" s="18"/>
      <c r="C295" s="14"/>
      <c r="D295" s="21"/>
      <c r="E295" s="15">
        <f t="shared" si="41"/>
        <v>0</v>
      </c>
      <c r="F295" s="12"/>
      <c r="G295" s="16"/>
      <c r="H295" s="16"/>
      <c r="I295" s="16"/>
      <c r="J295" s="17"/>
      <c r="K295" s="16"/>
      <c r="L295" s="16"/>
      <c r="M295" s="16">
        <f t="shared" si="32"/>
        <v>0</v>
      </c>
      <c r="N295" s="16" t="str">
        <f t="shared" si="33"/>
        <v>#DIV/0!</v>
      </c>
      <c r="O295" s="16"/>
      <c r="P295" s="16"/>
      <c r="Q295" s="16"/>
    </row>
    <row r="296" ht="15.75" customHeight="1">
      <c r="A296" s="14">
        <f t="shared" si="40"/>
        <v>274</v>
      </c>
      <c r="B296" s="18"/>
      <c r="C296" s="14"/>
      <c r="D296" s="21"/>
      <c r="E296" s="15">
        <f t="shared" si="41"/>
        <v>0</v>
      </c>
      <c r="F296" s="12"/>
      <c r="G296" s="16"/>
      <c r="H296" s="16"/>
      <c r="I296" s="16"/>
      <c r="J296" s="17"/>
      <c r="K296" s="16"/>
      <c r="L296" s="16"/>
      <c r="M296" s="16">
        <f t="shared" si="32"/>
        <v>0</v>
      </c>
      <c r="N296" s="16" t="str">
        <f t="shared" si="33"/>
        <v>#DIV/0!</v>
      </c>
      <c r="O296" s="16"/>
      <c r="P296" s="16"/>
      <c r="Q296" s="16"/>
    </row>
    <row r="297" ht="15.75" customHeight="1">
      <c r="A297" s="14">
        <f t="shared" si="40"/>
        <v>275</v>
      </c>
      <c r="B297" s="18"/>
      <c r="C297" s="14"/>
      <c r="D297" s="21"/>
      <c r="E297" s="15">
        <f t="shared" si="41"/>
        <v>0</v>
      </c>
      <c r="F297" s="12"/>
      <c r="G297" s="16"/>
      <c r="H297" s="16"/>
      <c r="I297" s="16"/>
      <c r="J297" s="17"/>
      <c r="K297" s="16"/>
      <c r="L297" s="16"/>
      <c r="M297" s="16">
        <f t="shared" si="32"/>
        <v>0</v>
      </c>
      <c r="N297" s="16" t="str">
        <f t="shared" si="33"/>
        <v>#DIV/0!</v>
      </c>
      <c r="O297" s="16"/>
      <c r="P297" s="16"/>
      <c r="Q297" s="16"/>
    </row>
    <row r="298" ht="15.75" customHeight="1">
      <c r="A298" s="14">
        <f t="shared" si="40"/>
        <v>276</v>
      </c>
      <c r="B298" s="18"/>
      <c r="C298" s="14"/>
      <c r="D298" s="21"/>
      <c r="E298" s="15">
        <f t="shared" si="41"/>
        <v>0</v>
      </c>
      <c r="F298" s="12"/>
      <c r="G298" s="16"/>
      <c r="H298" s="16"/>
      <c r="I298" s="16"/>
      <c r="J298" s="17"/>
      <c r="K298" s="16"/>
      <c r="L298" s="16"/>
      <c r="M298" s="16">
        <f t="shared" si="32"/>
        <v>0</v>
      </c>
      <c r="N298" s="16" t="str">
        <f t="shared" si="33"/>
        <v>#DIV/0!</v>
      </c>
      <c r="O298" s="16"/>
      <c r="P298" s="16"/>
      <c r="Q298" s="16"/>
    </row>
    <row r="299" ht="15.75" customHeight="1">
      <c r="A299" s="14">
        <f t="shared" si="40"/>
        <v>277</v>
      </c>
      <c r="B299" s="18"/>
      <c r="C299" s="14"/>
      <c r="D299" s="21"/>
      <c r="E299" s="15">
        <f t="shared" si="41"/>
        <v>0</v>
      </c>
      <c r="F299" s="12"/>
      <c r="G299" s="16"/>
      <c r="H299" s="16"/>
      <c r="I299" s="16"/>
      <c r="J299" s="17"/>
      <c r="K299" s="16"/>
      <c r="L299" s="16"/>
      <c r="M299" s="16">
        <f t="shared" si="32"/>
        <v>0</v>
      </c>
      <c r="N299" s="16" t="str">
        <f t="shared" si="33"/>
        <v>#DIV/0!</v>
      </c>
      <c r="O299" s="16"/>
      <c r="P299" s="16"/>
      <c r="Q299" s="16"/>
    </row>
    <row r="300" ht="15.75" customHeight="1">
      <c r="A300" s="14">
        <f t="shared" si="40"/>
        <v>278</v>
      </c>
      <c r="B300" s="18"/>
      <c r="C300" s="14"/>
      <c r="D300" s="21"/>
      <c r="E300" s="15">
        <f t="shared" si="41"/>
        <v>0</v>
      </c>
      <c r="F300" s="12"/>
      <c r="G300" s="16"/>
      <c r="H300" s="16"/>
      <c r="I300" s="16"/>
      <c r="J300" s="17"/>
      <c r="K300" s="16"/>
      <c r="L300" s="16"/>
      <c r="M300" s="16">
        <f t="shared" si="32"/>
        <v>0</v>
      </c>
      <c r="N300" s="16" t="str">
        <f t="shared" si="33"/>
        <v>#DIV/0!</v>
      </c>
      <c r="O300" s="16"/>
      <c r="P300" s="16"/>
      <c r="Q300" s="16"/>
    </row>
    <row r="301" ht="15.75" customHeight="1">
      <c r="A301" s="14">
        <f t="shared" si="40"/>
        <v>279</v>
      </c>
      <c r="B301" s="18"/>
      <c r="C301" s="14"/>
      <c r="D301" s="21"/>
      <c r="E301" s="15">
        <f t="shared" si="41"/>
        <v>0</v>
      </c>
      <c r="F301" s="12"/>
      <c r="G301" s="16"/>
      <c r="H301" s="16"/>
      <c r="I301" s="16"/>
      <c r="J301" s="17"/>
      <c r="K301" s="16"/>
      <c r="L301" s="16"/>
      <c r="M301" s="16">
        <f t="shared" si="32"/>
        <v>0</v>
      </c>
      <c r="N301" s="16" t="str">
        <f t="shared" si="33"/>
        <v>#DIV/0!</v>
      </c>
      <c r="O301" s="16"/>
      <c r="P301" s="16"/>
      <c r="Q301" s="16"/>
    </row>
    <row r="302" ht="15.75" customHeight="1">
      <c r="A302" s="14">
        <f t="shared" si="40"/>
        <v>280</v>
      </c>
      <c r="B302" s="18"/>
      <c r="C302" s="14"/>
      <c r="D302" s="21"/>
      <c r="E302" s="15">
        <f t="shared" si="41"/>
        <v>0</v>
      </c>
      <c r="F302" s="12"/>
      <c r="G302" s="16"/>
      <c r="H302" s="16"/>
      <c r="I302" s="16"/>
      <c r="J302" s="17"/>
      <c r="K302" s="16"/>
      <c r="L302" s="16"/>
      <c r="M302" s="16">
        <f t="shared" si="32"/>
        <v>0</v>
      </c>
      <c r="N302" s="16" t="str">
        <f t="shared" si="33"/>
        <v>#DIV/0!</v>
      </c>
      <c r="O302" s="16"/>
      <c r="P302" s="16"/>
      <c r="Q302" s="16"/>
    </row>
    <row r="303" ht="15.75" customHeight="1">
      <c r="A303" s="14">
        <f t="shared" si="40"/>
        <v>281</v>
      </c>
      <c r="B303" s="18"/>
      <c r="C303" s="14"/>
      <c r="D303" s="21"/>
      <c r="E303" s="15">
        <f t="shared" si="41"/>
        <v>0</v>
      </c>
      <c r="F303" s="12"/>
      <c r="G303" s="16"/>
      <c r="H303" s="16"/>
      <c r="I303" s="16"/>
      <c r="J303" s="17"/>
      <c r="K303" s="16"/>
      <c r="L303" s="16"/>
      <c r="M303" s="16">
        <f t="shared" si="32"/>
        <v>0</v>
      </c>
      <c r="N303" s="16" t="str">
        <f t="shared" si="33"/>
        <v>#DIV/0!</v>
      </c>
      <c r="O303" s="16"/>
      <c r="P303" s="16"/>
      <c r="Q303" s="16"/>
    </row>
    <row r="304" ht="15.75" customHeight="1">
      <c r="A304" s="14">
        <f t="shared" si="40"/>
        <v>282</v>
      </c>
      <c r="B304" s="18"/>
      <c r="C304" s="14"/>
      <c r="D304" s="21"/>
      <c r="E304" s="15">
        <f t="shared" si="41"/>
        <v>0</v>
      </c>
      <c r="F304" s="12"/>
      <c r="G304" s="16"/>
      <c r="H304" s="16"/>
      <c r="I304" s="16"/>
      <c r="J304" s="17"/>
      <c r="K304" s="16"/>
      <c r="L304" s="16"/>
      <c r="M304" s="16">
        <f t="shared" si="32"/>
        <v>0</v>
      </c>
      <c r="N304" s="16" t="str">
        <f t="shared" si="33"/>
        <v>#DIV/0!</v>
      </c>
      <c r="O304" s="16"/>
      <c r="P304" s="16"/>
      <c r="Q304" s="16"/>
    </row>
    <row r="305" ht="15.75" customHeight="1">
      <c r="A305" s="14">
        <f t="shared" si="40"/>
        <v>283</v>
      </c>
      <c r="B305" s="18"/>
      <c r="C305" s="14"/>
      <c r="D305" s="21"/>
      <c r="E305" s="15">
        <f t="shared" si="41"/>
        <v>0</v>
      </c>
      <c r="F305" s="12"/>
      <c r="G305" s="16"/>
      <c r="H305" s="16"/>
      <c r="I305" s="16"/>
      <c r="J305" s="17"/>
      <c r="K305" s="16"/>
      <c r="L305" s="16"/>
      <c r="M305" s="16">
        <f t="shared" si="32"/>
        <v>0</v>
      </c>
      <c r="N305" s="16" t="str">
        <f t="shared" si="33"/>
        <v>#DIV/0!</v>
      </c>
      <c r="O305" s="16"/>
      <c r="P305" s="16"/>
      <c r="Q305" s="16"/>
    </row>
    <row r="306" ht="15.75" customHeight="1">
      <c r="A306" s="14">
        <f t="shared" si="40"/>
        <v>284</v>
      </c>
      <c r="B306" s="18"/>
      <c r="C306" s="14"/>
      <c r="D306" s="21"/>
      <c r="E306" s="15">
        <f t="shared" si="41"/>
        <v>0</v>
      </c>
      <c r="F306" s="12"/>
      <c r="G306" s="16"/>
      <c r="H306" s="16"/>
      <c r="I306" s="16"/>
      <c r="J306" s="17"/>
      <c r="K306" s="16"/>
      <c r="L306" s="16"/>
      <c r="M306" s="16">
        <f t="shared" si="32"/>
        <v>0</v>
      </c>
      <c r="N306" s="16" t="str">
        <f t="shared" si="33"/>
        <v>#DIV/0!</v>
      </c>
      <c r="O306" s="16"/>
      <c r="P306" s="16"/>
      <c r="Q306" s="16"/>
    </row>
    <row r="307" ht="15.75" customHeight="1">
      <c r="A307" s="14">
        <f t="shared" si="40"/>
        <v>285</v>
      </c>
      <c r="B307" s="18"/>
      <c r="C307" s="14"/>
      <c r="D307" s="21"/>
      <c r="E307" s="15">
        <f t="shared" si="41"/>
        <v>0</v>
      </c>
      <c r="F307" s="12"/>
      <c r="G307" s="16"/>
      <c r="H307" s="16"/>
      <c r="I307" s="16"/>
      <c r="J307" s="17"/>
      <c r="K307" s="16"/>
      <c r="L307" s="16"/>
      <c r="M307" s="16">
        <f t="shared" si="32"/>
        <v>0</v>
      </c>
      <c r="N307" s="16" t="str">
        <f t="shared" si="33"/>
        <v>#DIV/0!</v>
      </c>
      <c r="O307" s="16"/>
      <c r="P307" s="16"/>
      <c r="Q307" s="16"/>
    </row>
    <row r="308" ht="15.75" customHeight="1">
      <c r="A308" s="14">
        <f t="shared" si="40"/>
        <v>286</v>
      </c>
      <c r="B308" s="18"/>
      <c r="C308" s="14"/>
      <c r="D308" s="21"/>
      <c r="E308" s="15">
        <f t="shared" si="41"/>
        <v>0</v>
      </c>
      <c r="F308" s="12"/>
      <c r="G308" s="16"/>
      <c r="H308" s="16"/>
      <c r="I308" s="16"/>
      <c r="J308" s="17"/>
      <c r="K308" s="16"/>
      <c r="L308" s="16"/>
      <c r="M308" s="16">
        <f t="shared" si="32"/>
        <v>0</v>
      </c>
      <c r="N308" s="16" t="str">
        <f t="shared" si="33"/>
        <v>#DIV/0!</v>
      </c>
      <c r="O308" s="16"/>
      <c r="P308" s="16"/>
      <c r="Q308" s="16"/>
    </row>
    <row r="309" ht="15.75" customHeight="1">
      <c r="A309" s="14">
        <f t="shared" si="40"/>
        <v>287</v>
      </c>
      <c r="B309" s="18"/>
      <c r="C309" s="14"/>
      <c r="D309" s="21"/>
      <c r="E309" s="15">
        <f t="shared" si="41"/>
        <v>0</v>
      </c>
      <c r="F309" s="12"/>
      <c r="G309" s="16"/>
      <c r="H309" s="16"/>
      <c r="I309" s="16"/>
      <c r="J309" s="17"/>
      <c r="K309" s="16"/>
      <c r="L309" s="16"/>
      <c r="M309" s="16">
        <f t="shared" si="32"/>
        <v>0</v>
      </c>
      <c r="N309" s="16" t="str">
        <f t="shared" si="33"/>
        <v>#DIV/0!</v>
      </c>
      <c r="O309" s="16"/>
      <c r="P309" s="16"/>
      <c r="Q309" s="16"/>
    </row>
    <row r="310" ht="15.75" customHeight="1">
      <c r="A310" s="14">
        <f t="shared" si="40"/>
        <v>288</v>
      </c>
      <c r="B310" s="18"/>
      <c r="C310" s="14"/>
      <c r="D310" s="21"/>
      <c r="E310" s="15">
        <f t="shared" si="41"/>
        <v>0</v>
      </c>
      <c r="F310" s="12"/>
      <c r="G310" s="16"/>
      <c r="H310" s="16"/>
      <c r="I310" s="16"/>
      <c r="J310" s="17"/>
      <c r="K310" s="16"/>
      <c r="L310" s="16"/>
      <c r="M310" s="16">
        <f t="shared" si="32"/>
        <v>0</v>
      </c>
      <c r="N310" s="16" t="str">
        <f t="shared" si="33"/>
        <v>#DIV/0!</v>
      </c>
      <c r="O310" s="16"/>
      <c r="P310" s="16"/>
      <c r="Q310" s="16"/>
    </row>
    <row r="311" ht="15.75" customHeight="1">
      <c r="A311" s="14">
        <f t="shared" si="40"/>
        <v>289</v>
      </c>
      <c r="B311" s="18"/>
      <c r="C311" s="14"/>
      <c r="D311" s="21"/>
      <c r="E311" s="15">
        <f t="shared" si="41"/>
        <v>0</v>
      </c>
      <c r="F311" s="12"/>
      <c r="G311" s="16"/>
      <c r="H311" s="16"/>
      <c r="I311" s="16"/>
      <c r="J311" s="17"/>
      <c r="K311" s="16"/>
      <c r="L311" s="16"/>
      <c r="M311" s="16">
        <f t="shared" si="32"/>
        <v>0</v>
      </c>
      <c r="N311" s="16" t="str">
        <f t="shared" si="33"/>
        <v>#DIV/0!</v>
      </c>
      <c r="O311" s="16"/>
      <c r="P311" s="16"/>
      <c r="Q311" s="16"/>
    </row>
    <row r="312" ht="15.75" customHeight="1">
      <c r="A312" s="14">
        <f t="shared" si="40"/>
        <v>290</v>
      </c>
      <c r="B312" s="18"/>
      <c r="C312" s="14"/>
      <c r="D312" s="21"/>
      <c r="E312" s="15">
        <f t="shared" si="41"/>
        <v>0</v>
      </c>
      <c r="F312" s="12"/>
      <c r="G312" s="16"/>
      <c r="H312" s="16"/>
      <c r="I312" s="16"/>
      <c r="J312" s="17"/>
      <c r="K312" s="16"/>
      <c r="L312" s="16"/>
      <c r="M312" s="16">
        <f t="shared" si="32"/>
        <v>0</v>
      </c>
      <c r="N312" s="16" t="str">
        <f t="shared" si="33"/>
        <v>#DIV/0!</v>
      </c>
      <c r="O312" s="16"/>
      <c r="P312" s="16"/>
      <c r="Q312" s="16"/>
    </row>
    <row r="313" ht="15.75" customHeight="1">
      <c r="A313" s="14">
        <f t="shared" si="40"/>
        <v>291</v>
      </c>
      <c r="B313" s="18"/>
      <c r="C313" s="14"/>
      <c r="D313" s="21"/>
      <c r="E313" s="15">
        <f t="shared" si="41"/>
        <v>0</v>
      </c>
      <c r="F313" s="12"/>
      <c r="G313" s="16"/>
      <c r="H313" s="16"/>
      <c r="I313" s="16"/>
      <c r="J313" s="17"/>
      <c r="K313" s="16"/>
      <c r="L313" s="16"/>
      <c r="M313" s="16">
        <f t="shared" si="32"/>
        <v>0</v>
      </c>
      <c r="N313" s="16" t="str">
        <f t="shared" si="33"/>
        <v>#DIV/0!</v>
      </c>
      <c r="O313" s="16"/>
      <c r="P313" s="16"/>
      <c r="Q313" s="16"/>
    </row>
    <row r="314" ht="15.75" customHeight="1">
      <c r="A314" s="14">
        <f t="shared" si="40"/>
        <v>292</v>
      </c>
      <c r="B314" s="18"/>
      <c r="C314" s="14"/>
      <c r="D314" s="21"/>
      <c r="E314" s="15">
        <f t="shared" si="41"/>
        <v>0</v>
      </c>
      <c r="F314" s="12"/>
      <c r="G314" s="16"/>
      <c r="H314" s="16"/>
      <c r="I314" s="16"/>
      <c r="J314" s="17"/>
      <c r="K314" s="16"/>
      <c r="L314" s="16"/>
      <c r="M314" s="16">
        <f t="shared" si="32"/>
        <v>0</v>
      </c>
      <c r="N314" s="16" t="str">
        <f t="shared" si="33"/>
        <v>#DIV/0!</v>
      </c>
      <c r="O314" s="16"/>
      <c r="P314" s="16"/>
      <c r="Q314" s="16"/>
    </row>
    <row r="315" ht="15.75" customHeight="1">
      <c r="A315" s="14">
        <f t="shared" si="40"/>
        <v>293</v>
      </c>
      <c r="B315" s="18"/>
      <c r="C315" s="14"/>
      <c r="D315" s="21"/>
      <c r="E315" s="15">
        <f t="shared" si="41"/>
        <v>0</v>
      </c>
      <c r="F315" s="12"/>
      <c r="G315" s="16"/>
      <c r="H315" s="16"/>
      <c r="I315" s="16"/>
      <c r="J315" s="17"/>
      <c r="K315" s="16"/>
      <c r="L315" s="16"/>
      <c r="M315" s="16">
        <f t="shared" si="32"/>
        <v>0</v>
      </c>
      <c r="N315" s="16" t="str">
        <f t="shared" si="33"/>
        <v>#DIV/0!</v>
      </c>
      <c r="O315" s="16"/>
      <c r="P315" s="16"/>
      <c r="Q315" s="16"/>
    </row>
    <row r="316" ht="15.75" customHeight="1">
      <c r="A316" s="14">
        <f t="shared" si="40"/>
        <v>294</v>
      </c>
      <c r="B316" s="18"/>
      <c r="C316" s="14"/>
      <c r="D316" s="21"/>
      <c r="E316" s="15">
        <f t="shared" si="41"/>
        <v>0</v>
      </c>
      <c r="F316" s="12"/>
      <c r="G316" s="16"/>
      <c r="H316" s="16"/>
      <c r="I316" s="16"/>
      <c r="J316" s="17"/>
      <c r="K316" s="16"/>
      <c r="L316" s="16"/>
      <c r="M316" s="16">
        <f t="shared" si="32"/>
        <v>0</v>
      </c>
      <c r="N316" s="16" t="str">
        <f t="shared" si="33"/>
        <v>#DIV/0!</v>
      </c>
      <c r="O316" s="16"/>
      <c r="P316" s="16"/>
      <c r="Q316" s="16"/>
    </row>
    <row r="317" ht="15.75" customHeight="1">
      <c r="A317" s="14">
        <f t="shared" si="40"/>
        <v>295</v>
      </c>
      <c r="B317" s="18"/>
      <c r="C317" s="14"/>
      <c r="D317" s="21"/>
      <c r="E317" s="15">
        <f t="shared" si="41"/>
        <v>0</v>
      </c>
      <c r="F317" s="12"/>
      <c r="G317" s="16"/>
      <c r="H317" s="16"/>
      <c r="I317" s="16"/>
      <c r="J317" s="17"/>
      <c r="K317" s="16"/>
      <c r="L317" s="16"/>
      <c r="M317" s="16">
        <f t="shared" si="32"/>
        <v>0</v>
      </c>
      <c r="N317" s="16" t="str">
        <f t="shared" si="33"/>
        <v>#DIV/0!</v>
      </c>
      <c r="O317" s="16"/>
      <c r="P317" s="16"/>
      <c r="Q317" s="16"/>
    </row>
    <row r="318" ht="15.75" customHeight="1">
      <c r="A318" s="14">
        <f t="shared" si="40"/>
        <v>296</v>
      </c>
      <c r="B318" s="18"/>
      <c r="C318" s="14"/>
      <c r="D318" s="21"/>
      <c r="E318" s="15">
        <f t="shared" si="41"/>
        <v>0</v>
      </c>
      <c r="F318" s="12"/>
      <c r="G318" s="16"/>
      <c r="H318" s="16"/>
      <c r="I318" s="16"/>
      <c r="J318" s="17"/>
      <c r="K318" s="16"/>
      <c r="L318" s="16"/>
      <c r="M318" s="16">
        <f t="shared" si="32"/>
        <v>0</v>
      </c>
      <c r="N318" s="16" t="str">
        <f t="shared" si="33"/>
        <v>#DIV/0!</v>
      </c>
      <c r="O318" s="16"/>
      <c r="P318" s="16"/>
      <c r="Q318" s="16"/>
    </row>
    <row r="319" ht="15.75" customHeight="1">
      <c r="A319" s="14">
        <f t="shared" si="40"/>
        <v>297</v>
      </c>
      <c r="B319" s="18"/>
      <c r="C319" s="14"/>
      <c r="D319" s="21"/>
      <c r="E319" s="15">
        <f t="shared" si="41"/>
        <v>0</v>
      </c>
      <c r="F319" s="12"/>
      <c r="G319" s="16"/>
      <c r="H319" s="16"/>
      <c r="I319" s="16"/>
      <c r="J319" s="17"/>
      <c r="K319" s="16"/>
      <c r="L319" s="16"/>
      <c r="M319" s="16">
        <f t="shared" si="32"/>
        <v>0</v>
      </c>
      <c r="N319" s="16" t="str">
        <f t="shared" si="33"/>
        <v>#DIV/0!</v>
      </c>
      <c r="O319" s="16"/>
      <c r="P319" s="16"/>
      <c r="Q319" s="16"/>
    </row>
    <row r="320" ht="15.75" customHeight="1">
      <c r="A320" s="14">
        <f t="shared" si="40"/>
        <v>298</v>
      </c>
      <c r="B320" s="18"/>
      <c r="C320" s="14"/>
      <c r="D320" s="21"/>
      <c r="E320" s="15">
        <f t="shared" si="41"/>
        <v>0</v>
      </c>
      <c r="F320" s="12"/>
      <c r="G320" s="16"/>
      <c r="H320" s="16"/>
      <c r="I320" s="16"/>
      <c r="J320" s="17"/>
      <c r="K320" s="16"/>
      <c r="L320" s="16"/>
      <c r="M320" s="16">
        <f t="shared" si="32"/>
        <v>0</v>
      </c>
      <c r="N320" s="16" t="str">
        <f t="shared" si="33"/>
        <v>#DIV/0!</v>
      </c>
      <c r="O320" s="16"/>
      <c r="P320" s="16"/>
      <c r="Q320" s="16"/>
    </row>
    <row r="321" ht="15.75" customHeight="1">
      <c r="A321" s="14">
        <f t="shared" si="40"/>
        <v>299</v>
      </c>
      <c r="B321" s="18"/>
      <c r="C321" s="14"/>
      <c r="D321" s="21"/>
      <c r="E321" s="15">
        <f t="shared" si="41"/>
        <v>0</v>
      </c>
      <c r="F321" s="12"/>
      <c r="G321" s="16"/>
      <c r="H321" s="16"/>
      <c r="I321" s="16"/>
      <c r="J321" s="17"/>
      <c r="K321" s="16"/>
      <c r="L321" s="16"/>
      <c r="M321" s="16">
        <f t="shared" si="32"/>
        <v>0</v>
      </c>
      <c r="N321" s="16" t="str">
        <f t="shared" si="33"/>
        <v>#DIV/0!</v>
      </c>
      <c r="O321" s="16"/>
      <c r="P321" s="16"/>
      <c r="Q321" s="16"/>
    </row>
    <row r="322" ht="15.75" customHeight="1">
      <c r="A322" s="14">
        <f t="shared" si="40"/>
        <v>300</v>
      </c>
      <c r="B322" s="18"/>
      <c r="C322" s="14"/>
      <c r="D322" s="21"/>
      <c r="E322" s="15">
        <f t="shared" si="41"/>
        <v>0</v>
      </c>
      <c r="F322" s="12"/>
      <c r="G322" s="16"/>
      <c r="H322" s="16"/>
      <c r="I322" s="16"/>
      <c r="J322" s="17"/>
      <c r="K322" s="16"/>
      <c r="L322" s="16"/>
      <c r="M322" s="16">
        <f t="shared" si="32"/>
        <v>0</v>
      </c>
      <c r="N322" s="16" t="str">
        <f t="shared" si="33"/>
        <v>#DIV/0!</v>
      </c>
      <c r="O322" s="16"/>
      <c r="P322" s="16"/>
      <c r="Q322" s="16"/>
    </row>
    <row r="323" ht="15.75" customHeight="1">
      <c r="A323" s="14">
        <f t="shared" si="40"/>
        <v>301</v>
      </c>
      <c r="B323" s="18"/>
      <c r="C323" s="14"/>
      <c r="D323" s="21"/>
      <c r="E323" s="15">
        <f t="shared" si="41"/>
        <v>0</v>
      </c>
      <c r="F323" s="12"/>
      <c r="G323" s="16"/>
      <c r="H323" s="16"/>
      <c r="I323" s="16"/>
      <c r="J323" s="17"/>
      <c r="K323" s="16"/>
      <c r="L323" s="16"/>
      <c r="M323" s="16">
        <f t="shared" si="32"/>
        <v>0</v>
      </c>
      <c r="N323" s="16" t="str">
        <f t="shared" si="33"/>
        <v>#DIV/0!</v>
      </c>
      <c r="O323" s="16"/>
      <c r="P323" s="16"/>
      <c r="Q323" s="16"/>
    </row>
    <row r="324" ht="15.75" customHeight="1">
      <c r="A324" s="14">
        <f t="shared" si="40"/>
        <v>302</v>
      </c>
      <c r="B324" s="18"/>
      <c r="C324" s="14"/>
      <c r="D324" s="21"/>
      <c r="E324" s="15">
        <f t="shared" si="41"/>
        <v>0</v>
      </c>
      <c r="F324" s="12"/>
      <c r="G324" s="16"/>
      <c r="H324" s="16"/>
      <c r="I324" s="16"/>
      <c r="J324" s="17"/>
      <c r="K324" s="16"/>
      <c r="L324" s="16"/>
      <c r="M324" s="16">
        <f t="shared" si="32"/>
        <v>0</v>
      </c>
      <c r="N324" s="16" t="str">
        <f t="shared" si="33"/>
        <v>#DIV/0!</v>
      </c>
      <c r="O324" s="16"/>
      <c r="P324" s="16"/>
      <c r="Q324" s="16"/>
    </row>
    <row r="325" ht="15.75" customHeight="1">
      <c r="A325" s="14">
        <f t="shared" si="40"/>
        <v>303</v>
      </c>
      <c r="B325" s="18"/>
      <c r="C325" s="14"/>
      <c r="D325" s="21"/>
      <c r="E325" s="15">
        <f t="shared" si="41"/>
        <v>0</v>
      </c>
      <c r="F325" s="12"/>
      <c r="G325" s="16"/>
      <c r="H325" s="16"/>
      <c r="I325" s="16"/>
      <c r="J325" s="17"/>
      <c r="K325" s="16"/>
      <c r="L325" s="16"/>
      <c r="M325" s="16">
        <f t="shared" si="32"/>
        <v>0</v>
      </c>
      <c r="N325" s="16" t="str">
        <f t="shared" si="33"/>
        <v>#DIV/0!</v>
      </c>
      <c r="O325" s="16"/>
      <c r="P325" s="16"/>
      <c r="Q325" s="16"/>
    </row>
    <row r="326" ht="15.75" customHeight="1">
      <c r="C326" s="22"/>
      <c r="D326" s="37"/>
    </row>
    <row r="327" ht="15.75" customHeight="1">
      <c r="C327" s="22"/>
      <c r="D327" s="37"/>
    </row>
    <row r="328" ht="15.75" customHeight="1">
      <c r="C328" s="22"/>
      <c r="D328" s="37"/>
    </row>
    <row r="329" ht="15.75" customHeight="1">
      <c r="C329" s="22"/>
      <c r="D329" s="37"/>
    </row>
    <row r="330" ht="15.75" customHeight="1">
      <c r="C330" s="22"/>
      <c r="D330" s="37"/>
    </row>
    <row r="331" ht="15.75" customHeight="1">
      <c r="C331" s="22"/>
      <c r="D331" s="37"/>
    </row>
    <row r="332" ht="15.75" customHeight="1">
      <c r="C332" s="22"/>
      <c r="D332" s="37"/>
    </row>
    <row r="333" ht="15.75" customHeight="1">
      <c r="C333" s="22"/>
      <c r="D333" s="37"/>
    </row>
    <row r="334" ht="15.75" customHeight="1">
      <c r="C334" s="22"/>
      <c r="D334" s="37"/>
    </row>
    <row r="335" ht="15.75" customHeight="1">
      <c r="C335" s="22"/>
      <c r="D335" s="37"/>
    </row>
    <row r="336" ht="15.75" customHeight="1">
      <c r="C336" s="22"/>
      <c r="D336" s="37"/>
    </row>
    <row r="337" ht="15.75" customHeight="1">
      <c r="C337" s="22"/>
      <c r="D337" s="37"/>
    </row>
    <row r="338" ht="15.75" customHeight="1">
      <c r="C338" s="22"/>
      <c r="D338" s="37"/>
    </row>
    <row r="339" ht="15.75" customHeight="1">
      <c r="C339" s="22"/>
      <c r="D339" s="37"/>
    </row>
    <row r="340" ht="15.75" customHeight="1">
      <c r="C340" s="22"/>
      <c r="D340" s="37"/>
    </row>
    <row r="341" ht="15.75" customHeight="1">
      <c r="C341" s="22"/>
      <c r="D341" s="37"/>
    </row>
    <row r="342" ht="15.75" customHeight="1">
      <c r="C342" s="22"/>
      <c r="D342" s="37"/>
    </row>
    <row r="343" ht="15.75" customHeight="1">
      <c r="C343" s="22"/>
      <c r="D343" s="37"/>
    </row>
    <row r="344" ht="15.75" customHeight="1">
      <c r="C344" s="22"/>
      <c r="D344" s="37"/>
    </row>
    <row r="345" ht="15.75" customHeight="1">
      <c r="C345" s="22"/>
      <c r="D345" s="37"/>
    </row>
    <row r="346" ht="15.75" customHeight="1">
      <c r="C346" s="22"/>
      <c r="D346" s="37"/>
    </row>
    <row r="347" ht="15.75" customHeight="1">
      <c r="C347" s="22"/>
      <c r="D347" s="37"/>
    </row>
    <row r="348" ht="15.75" customHeight="1">
      <c r="C348" s="22"/>
      <c r="D348" s="37"/>
    </row>
    <row r="349" ht="15.75" customHeight="1">
      <c r="C349" s="22"/>
      <c r="D349" s="37"/>
    </row>
    <row r="350" ht="15.75" customHeight="1">
      <c r="C350" s="22"/>
      <c r="D350" s="37"/>
    </row>
    <row r="351" ht="15.75" customHeight="1">
      <c r="C351" s="22"/>
      <c r="D351" s="37"/>
    </row>
    <row r="352" ht="15.75" customHeight="1">
      <c r="C352" s="22"/>
      <c r="D352" s="37"/>
    </row>
    <row r="353" ht="15.75" customHeight="1">
      <c r="C353" s="22"/>
      <c r="D353" s="37"/>
    </row>
    <row r="354" ht="15.75" customHeight="1">
      <c r="C354" s="22"/>
      <c r="D354" s="37"/>
    </row>
    <row r="355" ht="15.75" customHeight="1">
      <c r="C355" s="22"/>
      <c r="D355" s="37"/>
    </row>
    <row r="356" ht="15.75" customHeight="1">
      <c r="C356" s="22"/>
      <c r="D356" s="37"/>
    </row>
    <row r="357" ht="15.75" customHeight="1">
      <c r="C357" s="22"/>
      <c r="D357" s="37"/>
    </row>
    <row r="358" ht="15.75" customHeight="1">
      <c r="C358" s="22"/>
      <c r="D358" s="37"/>
    </row>
    <row r="359" ht="15.75" customHeight="1">
      <c r="C359" s="22"/>
      <c r="D359" s="37"/>
    </row>
    <row r="360" ht="15.75" customHeight="1">
      <c r="C360" s="22"/>
      <c r="D360" s="37"/>
    </row>
    <row r="361" ht="15.75" customHeight="1">
      <c r="C361" s="22"/>
      <c r="D361" s="37"/>
    </row>
    <row r="362" ht="15.75" customHeight="1">
      <c r="C362" s="22"/>
      <c r="D362" s="37"/>
    </row>
    <row r="363" ht="15.75" customHeight="1">
      <c r="C363" s="22"/>
      <c r="D363" s="37"/>
    </row>
    <row r="364" ht="15.75" customHeight="1">
      <c r="C364" s="22"/>
      <c r="D364" s="37"/>
    </row>
    <row r="365" ht="15.75" customHeight="1">
      <c r="C365" s="22"/>
      <c r="D365" s="37"/>
    </row>
    <row r="366" ht="15.75" customHeight="1">
      <c r="C366" s="22"/>
      <c r="D366" s="37"/>
    </row>
    <row r="367" ht="15.75" customHeight="1">
      <c r="C367" s="22"/>
      <c r="D367" s="37"/>
    </row>
    <row r="368" ht="15.75" customHeight="1">
      <c r="C368" s="22"/>
      <c r="D368" s="37"/>
    </row>
    <row r="369" ht="15.75" customHeight="1">
      <c r="C369" s="22"/>
      <c r="D369" s="37"/>
    </row>
    <row r="370" ht="15.75" customHeight="1">
      <c r="C370" s="22"/>
      <c r="D370" s="37"/>
    </row>
    <row r="371" ht="15.75" customHeight="1">
      <c r="C371" s="22"/>
      <c r="D371" s="37"/>
    </row>
    <row r="372" ht="15.75" customHeight="1">
      <c r="C372" s="22"/>
      <c r="D372" s="37"/>
    </row>
    <row r="373" ht="15.75" customHeight="1">
      <c r="C373" s="22"/>
      <c r="D373" s="37"/>
    </row>
    <row r="374" ht="15.75" customHeight="1">
      <c r="C374" s="22"/>
      <c r="D374" s="37"/>
    </row>
    <row r="375" ht="15.75" customHeight="1">
      <c r="C375" s="22"/>
      <c r="D375" s="37"/>
    </row>
    <row r="376" ht="15.75" customHeight="1">
      <c r="C376" s="22"/>
      <c r="D376" s="37"/>
    </row>
    <row r="377" ht="15.75" customHeight="1">
      <c r="C377" s="22"/>
      <c r="D377" s="37"/>
    </row>
    <row r="378" ht="15.75" customHeight="1">
      <c r="C378" s="22"/>
      <c r="D378" s="37"/>
    </row>
    <row r="379" ht="15.75" customHeight="1">
      <c r="C379" s="22"/>
      <c r="D379" s="37"/>
    </row>
    <row r="380" ht="15.75" customHeight="1">
      <c r="C380" s="22"/>
      <c r="D380" s="37"/>
    </row>
    <row r="381" ht="15.75" customHeight="1">
      <c r="C381" s="22"/>
      <c r="D381" s="37"/>
    </row>
    <row r="382" ht="15.75" customHeight="1">
      <c r="C382" s="22"/>
      <c r="D382" s="37"/>
    </row>
    <row r="383" ht="15.75" customHeight="1">
      <c r="C383" s="22"/>
      <c r="D383" s="37"/>
    </row>
    <row r="384" ht="15.75" customHeight="1">
      <c r="C384" s="22"/>
      <c r="D384" s="37"/>
    </row>
    <row r="385" ht="15.75" customHeight="1">
      <c r="C385" s="22"/>
      <c r="D385" s="37"/>
    </row>
    <row r="386" ht="15.75" customHeight="1">
      <c r="C386" s="22"/>
      <c r="D386" s="37"/>
    </row>
    <row r="387" ht="15.75" customHeight="1">
      <c r="C387" s="22"/>
      <c r="D387" s="37"/>
    </row>
    <row r="388" ht="15.75" customHeight="1">
      <c r="C388" s="22"/>
      <c r="D388" s="37"/>
    </row>
    <row r="389" ht="15.75" customHeight="1">
      <c r="C389" s="22"/>
      <c r="D389" s="37"/>
    </row>
    <row r="390" ht="15.75" customHeight="1">
      <c r="C390" s="22"/>
      <c r="D390" s="37"/>
    </row>
    <row r="391" ht="15.75" customHeight="1">
      <c r="C391" s="22"/>
      <c r="D391" s="37"/>
    </row>
    <row r="392" ht="15.75" customHeight="1">
      <c r="C392" s="22"/>
      <c r="D392" s="37"/>
    </row>
    <row r="393" ht="15.75" customHeight="1">
      <c r="C393" s="22"/>
      <c r="D393" s="37"/>
    </row>
    <row r="394" ht="15.75" customHeight="1">
      <c r="C394" s="22"/>
      <c r="D394" s="37"/>
    </row>
    <row r="395" ht="15.75" customHeight="1">
      <c r="C395" s="22"/>
      <c r="D395" s="37"/>
    </row>
    <row r="396" ht="15.75" customHeight="1">
      <c r="C396" s="22"/>
      <c r="D396" s="37"/>
    </row>
    <row r="397" ht="15.75" customHeight="1">
      <c r="C397" s="22"/>
      <c r="D397" s="37"/>
    </row>
    <row r="398" ht="15.75" customHeight="1">
      <c r="C398" s="22"/>
      <c r="D398" s="37"/>
    </row>
    <row r="399" ht="15.75" customHeight="1">
      <c r="C399" s="22"/>
      <c r="D399" s="37"/>
    </row>
    <row r="400" ht="15.75" customHeight="1">
      <c r="C400" s="22"/>
      <c r="D400" s="37"/>
    </row>
    <row r="401" ht="15.75" customHeight="1">
      <c r="C401" s="22"/>
      <c r="D401" s="37"/>
    </row>
    <row r="402" ht="15.75" customHeight="1">
      <c r="C402" s="22"/>
      <c r="D402" s="37"/>
    </row>
    <row r="403" ht="15.75" customHeight="1">
      <c r="C403" s="22"/>
      <c r="D403" s="37"/>
    </row>
    <row r="404" ht="15.75" customHeight="1">
      <c r="C404" s="22"/>
      <c r="D404" s="37"/>
    </row>
    <row r="405" ht="15.75" customHeight="1">
      <c r="C405" s="22"/>
      <c r="D405" s="37"/>
    </row>
    <row r="406" ht="15.75" customHeight="1">
      <c r="C406" s="22"/>
      <c r="D406" s="37"/>
    </row>
    <row r="407" ht="15.75" customHeight="1">
      <c r="C407" s="22"/>
      <c r="D407" s="37"/>
    </row>
    <row r="408" ht="15.75" customHeight="1">
      <c r="C408" s="22"/>
      <c r="D408" s="37"/>
    </row>
    <row r="409" ht="15.75" customHeight="1">
      <c r="C409" s="22"/>
      <c r="D409" s="37"/>
    </row>
    <row r="410" ht="15.75" customHeight="1">
      <c r="C410" s="22"/>
      <c r="D410" s="37"/>
    </row>
    <row r="411" ht="15.75" customHeight="1">
      <c r="C411" s="22"/>
      <c r="D411" s="37"/>
    </row>
    <row r="412" ht="15.75" customHeight="1">
      <c r="C412" s="22"/>
      <c r="D412" s="37"/>
    </row>
    <row r="413" ht="15.75" customHeight="1">
      <c r="C413" s="22"/>
      <c r="D413" s="37"/>
    </row>
    <row r="414" ht="15.75" customHeight="1">
      <c r="C414" s="22"/>
      <c r="D414" s="37"/>
    </row>
    <row r="415" ht="15.75" customHeight="1">
      <c r="C415" s="22"/>
      <c r="D415" s="37"/>
    </row>
    <row r="416" ht="15.75" customHeight="1">
      <c r="C416" s="22"/>
      <c r="D416" s="37"/>
    </row>
    <row r="417" ht="15.75" customHeight="1">
      <c r="C417" s="22"/>
      <c r="D417" s="37"/>
    </row>
    <row r="418" ht="15.75" customHeight="1">
      <c r="C418" s="22"/>
      <c r="D418" s="37"/>
    </row>
    <row r="419" ht="15.75" customHeight="1">
      <c r="C419" s="22"/>
      <c r="D419" s="37"/>
    </row>
    <row r="420" ht="15.75" customHeight="1">
      <c r="C420" s="22"/>
      <c r="D420" s="37"/>
    </row>
    <row r="421" ht="15.75" customHeight="1">
      <c r="C421" s="22"/>
      <c r="D421" s="37"/>
    </row>
    <row r="422" ht="15.75" customHeight="1">
      <c r="C422" s="22"/>
      <c r="D422" s="37"/>
    </row>
    <row r="423" ht="15.75" customHeight="1">
      <c r="C423" s="22"/>
      <c r="D423" s="37"/>
    </row>
    <row r="424" ht="15.75" customHeight="1">
      <c r="C424" s="22"/>
      <c r="D424" s="37"/>
    </row>
    <row r="425" ht="15.75" customHeight="1">
      <c r="C425" s="22"/>
      <c r="D425" s="37"/>
    </row>
    <row r="426" ht="15.75" customHeight="1">
      <c r="C426" s="22"/>
      <c r="D426" s="37"/>
    </row>
    <row r="427" ht="15.75" customHeight="1">
      <c r="C427" s="22"/>
      <c r="D427" s="37"/>
    </row>
    <row r="428" ht="15.75" customHeight="1">
      <c r="C428" s="22"/>
      <c r="D428" s="37"/>
    </row>
    <row r="429" ht="15.75" customHeight="1">
      <c r="C429" s="22"/>
      <c r="D429" s="37"/>
    </row>
    <row r="430" ht="15.75" customHeight="1">
      <c r="C430" s="22"/>
      <c r="D430" s="37"/>
    </row>
    <row r="431" ht="15.75" customHeight="1">
      <c r="C431" s="22"/>
      <c r="D431" s="37"/>
    </row>
    <row r="432" ht="15.75" customHeight="1">
      <c r="C432" s="22"/>
      <c r="D432" s="37"/>
    </row>
    <row r="433" ht="15.75" customHeight="1">
      <c r="C433" s="22"/>
      <c r="D433" s="37"/>
    </row>
    <row r="434" ht="15.75" customHeight="1">
      <c r="C434" s="22"/>
      <c r="D434" s="37"/>
    </row>
    <row r="435" ht="15.75" customHeight="1">
      <c r="C435" s="22"/>
      <c r="D435" s="37"/>
    </row>
    <row r="436" ht="15.75" customHeight="1">
      <c r="C436" s="22"/>
      <c r="D436" s="37"/>
    </row>
    <row r="437" ht="15.75" customHeight="1">
      <c r="C437" s="22"/>
      <c r="D437" s="37"/>
    </row>
    <row r="438" ht="15.75" customHeight="1">
      <c r="C438" s="22"/>
      <c r="D438" s="37"/>
    </row>
    <row r="439" ht="15.75" customHeight="1">
      <c r="C439" s="22"/>
      <c r="D439" s="37"/>
    </row>
    <row r="440" ht="15.75" customHeight="1">
      <c r="C440" s="22"/>
      <c r="D440" s="37"/>
    </row>
    <row r="441" ht="15.75" customHeight="1">
      <c r="C441" s="22"/>
      <c r="D441" s="37"/>
    </row>
    <row r="442" ht="15.75" customHeight="1">
      <c r="C442" s="22"/>
      <c r="D442" s="37"/>
    </row>
    <row r="443" ht="15.75" customHeight="1">
      <c r="C443" s="22"/>
      <c r="D443" s="37"/>
    </row>
    <row r="444" ht="15.75" customHeight="1">
      <c r="C444" s="22"/>
      <c r="D444" s="37"/>
    </row>
    <row r="445" ht="15.75" customHeight="1">
      <c r="C445" s="22"/>
      <c r="D445" s="37"/>
    </row>
    <row r="446" ht="15.75" customHeight="1">
      <c r="C446" s="22"/>
      <c r="D446" s="37"/>
    </row>
    <row r="447" ht="15.75" customHeight="1">
      <c r="C447" s="22"/>
      <c r="D447" s="37"/>
    </row>
    <row r="448" ht="15.75" customHeight="1">
      <c r="C448" s="22"/>
      <c r="D448" s="37"/>
    </row>
    <row r="449" ht="15.75" customHeight="1">
      <c r="C449" s="22"/>
      <c r="D449" s="37"/>
    </row>
    <row r="450" ht="15.75" customHeight="1">
      <c r="C450" s="22"/>
      <c r="D450" s="37"/>
    </row>
    <row r="451" ht="15.75" customHeight="1">
      <c r="C451" s="22"/>
      <c r="D451" s="37"/>
    </row>
    <row r="452" ht="15.75" customHeight="1">
      <c r="C452" s="22"/>
      <c r="D452" s="37"/>
    </row>
    <row r="453" ht="15.75" customHeight="1">
      <c r="C453" s="22"/>
      <c r="D453" s="37"/>
    </row>
    <row r="454" ht="15.75" customHeight="1">
      <c r="C454" s="22"/>
      <c r="D454" s="37"/>
    </row>
    <row r="455" ht="15.75" customHeight="1">
      <c r="C455" s="22"/>
      <c r="D455" s="37"/>
    </row>
    <row r="456" ht="15.75" customHeight="1">
      <c r="C456" s="22"/>
      <c r="D456" s="37"/>
    </row>
    <row r="457" ht="15.75" customHeight="1">
      <c r="C457" s="22"/>
      <c r="D457" s="37"/>
    </row>
    <row r="458" ht="15.75" customHeight="1">
      <c r="C458" s="22"/>
      <c r="D458" s="37"/>
    </row>
    <row r="459" ht="15.75" customHeight="1">
      <c r="C459" s="22"/>
      <c r="D459" s="37"/>
    </row>
    <row r="460" ht="15.75" customHeight="1">
      <c r="C460" s="22"/>
      <c r="D460" s="37"/>
    </row>
    <row r="461" ht="15.75" customHeight="1">
      <c r="C461" s="22"/>
      <c r="D461" s="37"/>
    </row>
    <row r="462" ht="15.75" customHeight="1">
      <c r="C462" s="22"/>
      <c r="D462" s="37"/>
    </row>
    <row r="463" ht="15.75" customHeight="1">
      <c r="C463" s="22"/>
      <c r="D463" s="37"/>
    </row>
    <row r="464" ht="15.75" customHeight="1">
      <c r="C464" s="22"/>
      <c r="D464" s="37"/>
    </row>
    <row r="465" ht="15.75" customHeight="1">
      <c r="C465" s="22"/>
      <c r="D465" s="37"/>
    </row>
    <row r="466" ht="15.75" customHeight="1">
      <c r="C466" s="22"/>
      <c r="D466" s="37"/>
    </row>
    <row r="467" ht="15.75" customHeight="1">
      <c r="C467" s="22"/>
      <c r="D467" s="37"/>
    </row>
    <row r="468" ht="15.75" customHeight="1">
      <c r="C468" s="22"/>
      <c r="D468" s="37"/>
    </row>
    <row r="469" ht="15.75" customHeight="1">
      <c r="C469" s="22"/>
      <c r="D469" s="37"/>
    </row>
    <row r="470" ht="15.75" customHeight="1">
      <c r="C470" s="22"/>
      <c r="D470" s="37"/>
    </row>
    <row r="471" ht="15.75" customHeight="1">
      <c r="C471" s="22"/>
      <c r="D471" s="37"/>
    </row>
    <row r="472" ht="15.75" customHeight="1">
      <c r="C472" s="22"/>
      <c r="D472" s="37"/>
    </row>
    <row r="473" ht="15.75" customHeight="1">
      <c r="C473" s="22"/>
      <c r="D473" s="37"/>
    </row>
    <row r="474" ht="15.75" customHeight="1">
      <c r="C474" s="22"/>
      <c r="D474" s="37"/>
    </row>
    <row r="475" ht="15.75" customHeight="1">
      <c r="C475" s="22"/>
      <c r="D475" s="37"/>
    </row>
    <row r="476" ht="15.75" customHeight="1">
      <c r="C476" s="22"/>
      <c r="D476" s="37"/>
    </row>
    <row r="477" ht="15.75" customHeight="1">
      <c r="C477" s="22"/>
      <c r="D477" s="37"/>
    </row>
    <row r="478" ht="15.75" customHeight="1">
      <c r="C478" s="22"/>
      <c r="D478" s="37"/>
    </row>
    <row r="479" ht="15.75" customHeight="1">
      <c r="C479" s="22"/>
      <c r="D479" s="37"/>
    </row>
    <row r="480" ht="15.75" customHeight="1">
      <c r="C480" s="22"/>
      <c r="D480" s="37"/>
    </row>
    <row r="481" ht="15.75" customHeight="1">
      <c r="C481" s="22"/>
      <c r="D481" s="37"/>
    </row>
    <row r="482" ht="15.75" customHeight="1">
      <c r="C482" s="22"/>
      <c r="D482" s="37"/>
    </row>
    <row r="483" ht="15.75" customHeight="1">
      <c r="C483" s="22"/>
      <c r="D483" s="37"/>
    </row>
    <row r="484" ht="15.75" customHeight="1">
      <c r="C484" s="22"/>
      <c r="D484" s="37"/>
    </row>
    <row r="485" ht="15.75" customHeight="1">
      <c r="C485" s="22"/>
      <c r="D485" s="37"/>
    </row>
    <row r="486" ht="15.75" customHeight="1">
      <c r="C486" s="22"/>
      <c r="D486" s="37"/>
    </row>
    <row r="487" ht="15.75" customHeight="1">
      <c r="C487" s="22"/>
      <c r="D487" s="37"/>
    </row>
    <row r="488" ht="15.75" customHeight="1">
      <c r="C488" s="22"/>
      <c r="D488" s="37"/>
    </row>
    <row r="489" ht="15.75" customHeight="1">
      <c r="C489" s="22"/>
      <c r="D489" s="37"/>
    </row>
    <row r="490" ht="15.75" customHeight="1">
      <c r="C490" s="22"/>
      <c r="D490" s="37"/>
    </row>
    <row r="491" ht="15.75" customHeight="1">
      <c r="C491" s="22"/>
      <c r="D491" s="37"/>
    </row>
    <row r="492" ht="15.75" customHeight="1">
      <c r="C492" s="22"/>
      <c r="D492" s="37"/>
    </row>
    <row r="493" ht="15.75" customHeight="1">
      <c r="C493" s="22"/>
      <c r="D493" s="37"/>
    </row>
    <row r="494" ht="15.75" customHeight="1">
      <c r="C494" s="22"/>
      <c r="D494" s="37"/>
    </row>
    <row r="495" ht="15.75" customHeight="1">
      <c r="C495" s="22"/>
      <c r="D495" s="37"/>
    </row>
    <row r="496" ht="15.75" customHeight="1">
      <c r="C496" s="22"/>
      <c r="D496" s="37"/>
    </row>
    <row r="497" ht="15.75" customHeight="1">
      <c r="C497" s="22"/>
      <c r="D497" s="37"/>
    </row>
    <row r="498" ht="15.75" customHeight="1">
      <c r="C498" s="22"/>
      <c r="D498" s="37"/>
    </row>
    <row r="499" ht="15.75" customHeight="1">
      <c r="C499" s="22"/>
      <c r="D499" s="37"/>
    </row>
    <row r="500" ht="15.75" customHeight="1">
      <c r="C500" s="22"/>
      <c r="D500" s="37"/>
    </row>
    <row r="501" ht="15.75" customHeight="1">
      <c r="C501" s="22"/>
      <c r="D501" s="37"/>
    </row>
    <row r="502" ht="15.75" customHeight="1">
      <c r="C502" s="22"/>
      <c r="D502" s="37"/>
    </row>
    <row r="503" ht="15.75" customHeight="1">
      <c r="C503" s="22"/>
      <c r="D503" s="37"/>
    </row>
    <row r="504" ht="15.75" customHeight="1">
      <c r="C504" s="22"/>
      <c r="D504" s="37"/>
    </row>
    <row r="505" ht="15.75" customHeight="1">
      <c r="C505" s="22"/>
      <c r="D505" s="37"/>
    </row>
    <row r="506" ht="15.75" customHeight="1">
      <c r="C506" s="22"/>
      <c r="D506" s="37"/>
    </row>
    <row r="507" ht="15.75" customHeight="1">
      <c r="C507" s="22"/>
      <c r="D507" s="37"/>
    </row>
    <row r="508" ht="15.75" customHeight="1">
      <c r="C508" s="22"/>
      <c r="D508" s="37"/>
    </row>
    <row r="509" ht="15.75" customHeight="1">
      <c r="C509" s="22"/>
      <c r="D509" s="37"/>
    </row>
    <row r="510" ht="15.75" customHeight="1">
      <c r="C510" s="22"/>
      <c r="D510" s="37"/>
    </row>
    <row r="511" ht="15.75" customHeight="1">
      <c r="C511" s="22"/>
      <c r="D511" s="37"/>
    </row>
    <row r="512" ht="15.75" customHeight="1">
      <c r="C512" s="22"/>
      <c r="D512" s="37"/>
    </row>
    <row r="513" ht="15.75" customHeight="1">
      <c r="C513" s="22"/>
      <c r="D513" s="37"/>
    </row>
    <row r="514" ht="15.75" customHeight="1">
      <c r="C514" s="22"/>
      <c r="D514" s="37"/>
    </row>
    <row r="515" ht="15.75" customHeight="1">
      <c r="C515" s="22"/>
      <c r="D515" s="37"/>
    </row>
    <row r="516" ht="15.75" customHeight="1">
      <c r="C516" s="22"/>
      <c r="D516" s="37"/>
    </row>
    <row r="517" ht="15.75" customHeight="1">
      <c r="C517" s="22"/>
      <c r="D517" s="37"/>
    </row>
    <row r="518" ht="15.75" customHeight="1">
      <c r="C518" s="22"/>
      <c r="D518" s="37"/>
    </row>
    <row r="519" ht="15.75" customHeight="1">
      <c r="C519" s="22"/>
      <c r="D519" s="37"/>
    </row>
    <row r="520" ht="15.75" customHeight="1">
      <c r="C520" s="22"/>
      <c r="D520" s="37"/>
    </row>
    <row r="521" ht="15.75" customHeight="1">
      <c r="C521" s="22"/>
      <c r="D521" s="37"/>
    </row>
    <row r="522" ht="15.75" customHeight="1">
      <c r="C522" s="22"/>
      <c r="D522" s="37"/>
    </row>
    <row r="523" ht="15.75" customHeight="1">
      <c r="C523" s="22"/>
      <c r="D523" s="37"/>
    </row>
    <row r="524" ht="15.75" customHeight="1">
      <c r="C524" s="22"/>
      <c r="D524" s="37"/>
    </row>
    <row r="525" ht="15.75" customHeight="1">
      <c r="C525" s="22"/>
      <c r="D525" s="37"/>
    </row>
    <row r="526" ht="15.75" customHeight="1">
      <c r="C526" s="22"/>
      <c r="D526" s="37"/>
    </row>
    <row r="527" ht="15.75" customHeight="1">
      <c r="C527" s="22"/>
      <c r="D527" s="37"/>
    </row>
    <row r="528" ht="15.75" customHeight="1">
      <c r="C528" s="22"/>
      <c r="D528" s="37"/>
    </row>
    <row r="529" ht="15.75" customHeight="1">
      <c r="C529" s="22"/>
      <c r="D529" s="37"/>
    </row>
    <row r="530" ht="15.75" customHeight="1">
      <c r="C530" s="22"/>
      <c r="D530" s="37"/>
    </row>
    <row r="531" ht="15.75" customHeight="1">
      <c r="C531" s="22"/>
      <c r="D531" s="37"/>
    </row>
    <row r="532" ht="15.75" customHeight="1">
      <c r="C532" s="22"/>
      <c r="D532" s="37"/>
    </row>
    <row r="533" ht="15.75" customHeight="1">
      <c r="C533" s="22"/>
      <c r="D533" s="37"/>
    </row>
    <row r="534" ht="15.75" customHeight="1">
      <c r="C534" s="22"/>
      <c r="D534" s="37"/>
    </row>
    <row r="535" ht="15.75" customHeight="1">
      <c r="C535" s="22"/>
      <c r="D535" s="37"/>
    </row>
    <row r="536" ht="15.75" customHeight="1">
      <c r="C536" s="22"/>
      <c r="D536" s="37"/>
    </row>
    <row r="537" ht="15.75" customHeight="1">
      <c r="C537" s="22"/>
      <c r="D537" s="37"/>
    </row>
    <row r="538" ht="15.75" customHeight="1">
      <c r="C538" s="22"/>
      <c r="D538" s="37"/>
    </row>
    <row r="539" ht="15.75" customHeight="1">
      <c r="C539" s="22"/>
      <c r="D539" s="37"/>
    </row>
    <row r="540" ht="15.75" customHeight="1">
      <c r="C540" s="22"/>
      <c r="D540" s="37"/>
    </row>
    <row r="541" ht="15.75" customHeight="1">
      <c r="C541" s="22"/>
      <c r="D541" s="37"/>
    </row>
    <row r="542" ht="15.75" customHeight="1">
      <c r="C542" s="22"/>
      <c r="D542" s="37"/>
    </row>
    <row r="543" ht="15.75" customHeight="1">
      <c r="C543" s="22"/>
      <c r="D543" s="37"/>
    </row>
    <row r="544" ht="15.75" customHeight="1">
      <c r="C544" s="22"/>
      <c r="D544" s="37"/>
    </row>
    <row r="545" ht="15.75" customHeight="1">
      <c r="C545" s="22"/>
      <c r="D545" s="37"/>
    </row>
    <row r="546" ht="15.75" customHeight="1">
      <c r="C546" s="22"/>
      <c r="D546" s="37"/>
    </row>
    <row r="547" ht="15.75" customHeight="1">
      <c r="C547" s="22"/>
      <c r="D547" s="37"/>
    </row>
    <row r="548" ht="15.75" customHeight="1">
      <c r="C548" s="22"/>
      <c r="D548" s="37"/>
    </row>
    <row r="549" ht="15.75" customHeight="1">
      <c r="C549" s="22"/>
      <c r="D549" s="37"/>
    </row>
    <row r="550" ht="15.75" customHeight="1">
      <c r="C550" s="22"/>
      <c r="D550" s="37"/>
    </row>
    <row r="551" ht="15.75" customHeight="1">
      <c r="C551" s="22"/>
      <c r="D551" s="37"/>
    </row>
    <row r="552" ht="15.75" customHeight="1">
      <c r="C552" s="22"/>
      <c r="D552" s="37"/>
    </row>
    <row r="553" ht="15.75" customHeight="1">
      <c r="C553" s="22"/>
      <c r="D553" s="37"/>
    </row>
    <row r="554" ht="15.75" customHeight="1">
      <c r="C554" s="22"/>
      <c r="D554" s="37"/>
    </row>
    <row r="555" ht="15.75" customHeight="1">
      <c r="C555" s="22"/>
      <c r="D555" s="37"/>
    </row>
    <row r="556" ht="15.75" customHeight="1">
      <c r="C556" s="22"/>
      <c r="D556" s="37"/>
    </row>
    <row r="557" ht="15.75" customHeight="1">
      <c r="C557" s="22"/>
      <c r="D557" s="37"/>
    </row>
    <row r="558" ht="15.75" customHeight="1">
      <c r="C558" s="22"/>
      <c r="D558" s="37"/>
    </row>
    <row r="559" ht="15.75" customHeight="1">
      <c r="C559" s="22"/>
      <c r="D559" s="37"/>
    </row>
    <row r="560" ht="15.75" customHeight="1">
      <c r="C560" s="22"/>
      <c r="D560" s="37"/>
    </row>
    <row r="561" ht="15.75" customHeight="1">
      <c r="C561" s="22"/>
      <c r="D561" s="37"/>
    </row>
    <row r="562" ht="15.75" customHeight="1">
      <c r="C562" s="22"/>
      <c r="D562" s="37"/>
    </row>
    <row r="563" ht="15.75" customHeight="1">
      <c r="C563" s="22"/>
      <c r="D563" s="37"/>
    </row>
    <row r="564" ht="15.75" customHeight="1">
      <c r="C564" s="22"/>
      <c r="D564" s="37"/>
    </row>
    <row r="565" ht="15.75" customHeight="1">
      <c r="C565" s="22"/>
      <c r="D565" s="37"/>
    </row>
    <row r="566" ht="15.75" customHeight="1">
      <c r="C566" s="22"/>
      <c r="D566" s="37"/>
    </row>
    <row r="567" ht="15.75" customHeight="1">
      <c r="C567" s="22"/>
      <c r="D567" s="37"/>
    </row>
    <row r="568" ht="15.75" customHeight="1">
      <c r="C568" s="22"/>
      <c r="D568" s="37"/>
    </row>
    <row r="569" ht="15.75" customHeight="1">
      <c r="C569" s="22"/>
      <c r="D569" s="37"/>
    </row>
    <row r="570" ht="15.75" customHeight="1">
      <c r="C570" s="22"/>
      <c r="D570" s="37"/>
    </row>
    <row r="571" ht="15.75" customHeight="1">
      <c r="C571" s="22"/>
      <c r="D571" s="37"/>
    </row>
    <row r="572" ht="15.75" customHeight="1">
      <c r="C572" s="22"/>
      <c r="D572" s="37"/>
    </row>
    <row r="573" ht="15.75" customHeight="1">
      <c r="C573" s="22"/>
      <c r="D573" s="37"/>
    </row>
    <row r="574" ht="15.75" customHeight="1">
      <c r="C574" s="22"/>
      <c r="D574" s="37"/>
    </row>
    <row r="575" ht="15.75" customHeight="1">
      <c r="C575" s="22"/>
      <c r="D575" s="37"/>
    </row>
    <row r="576" ht="15.75" customHeight="1">
      <c r="C576" s="22"/>
      <c r="D576" s="37"/>
    </row>
    <row r="577" ht="15.75" customHeight="1">
      <c r="C577" s="22"/>
      <c r="D577" s="37"/>
    </row>
    <row r="578" ht="15.75" customHeight="1">
      <c r="C578" s="22"/>
      <c r="D578" s="37"/>
    </row>
    <row r="579" ht="15.75" customHeight="1">
      <c r="C579" s="22"/>
      <c r="D579" s="37"/>
    </row>
    <row r="580" ht="15.75" customHeight="1">
      <c r="C580" s="22"/>
      <c r="D580" s="37"/>
    </row>
    <row r="581" ht="15.75" customHeight="1">
      <c r="C581" s="22"/>
      <c r="D581" s="37"/>
    </row>
    <row r="582" ht="15.75" customHeight="1">
      <c r="C582" s="22"/>
      <c r="D582" s="37"/>
    </row>
    <row r="583" ht="15.75" customHeight="1">
      <c r="C583" s="22"/>
      <c r="D583" s="37"/>
    </row>
    <row r="584" ht="15.75" customHeight="1">
      <c r="C584" s="22"/>
      <c r="D584" s="37"/>
    </row>
    <row r="585" ht="15.75" customHeight="1">
      <c r="C585" s="22"/>
      <c r="D585" s="37"/>
    </row>
    <row r="586" ht="15.75" customHeight="1">
      <c r="C586" s="22"/>
      <c r="D586" s="37"/>
    </row>
    <row r="587" ht="15.75" customHeight="1">
      <c r="C587" s="22"/>
      <c r="D587" s="37"/>
    </row>
    <row r="588" ht="15.75" customHeight="1">
      <c r="C588" s="22"/>
      <c r="D588" s="37"/>
    </row>
    <row r="589" ht="15.75" customHeight="1">
      <c r="C589" s="22"/>
      <c r="D589" s="37"/>
    </row>
    <row r="590" ht="15.75" customHeight="1">
      <c r="C590" s="22"/>
      <c r="D590" s="37"/>
    </row>
    <row r="591" ht="15.75" customHeight="1">
      <c r="C591" s="22"/>
      <c r="D591" s="37"/>
    </row>
    <row r="592" ht="15.75" customHeight="1">
      <c r="C592" s="22"/>
      <c r="D592" s="37"/>
    </row>
    <row r="593" ht="15.75" customHeight="1">
      <c r="C593" s="22"/>
      <c r="D593" s="37"/>
    </row>
    <row r="594" ht="15.75" customHeight="1">
      <c r="C594" s="22"/>
      <c r="D594" s="37"/>
    </row>
    <row r="595" ht="15.75" customHeight="1">
      <c r="C595" s="22"/>
      <c r="D595" s="37"/>
    </row>
    <row r="596" ht="15.75" customHeight="1">
      <c r="C596" s="22"/>
      <c r="D596" s="37"/>
    </row>
    <row r="597" ht="15.75" customHeight="1">
      <c r="C597" s="22"/>
      <c r="D597" s="37"/>
    </row>
    <row r="598" ht="15.75" customHeight="1">
      <c r="C598" s="22"/>
      <c r="D598" s="37"/>
    </row>
    <row r="599" ht="15.75" customHeight="1">
      <c r="C599" s="22"/>
      <c r="D599" s="37"/>
    </row>
    <row r="600" ht="15.75" customHeight="1">
      <c r="C600" s="22"/>
      <c r="D600" s="37"/>
    </row>
    <row r="601" ht="15.75" customHeight="1">
      <c r="C601" s="22"/>
      <c r="D601" s="37"/>
    </row>
    <row r="602" ht="15.75" customHeight="1">
      <c r="C602" s="22"/>
      <c r="D602" s="37"/>
    </row>
    <row r="603" ht="15.75" customHeight="1">
      <c r="C603" s="22"/>
      <c r="D603" s="37"/>
    </row>
    <row r="604" ht="15.75" customHeight="1">
      <c r="C604" s="22"/>
      <c r="D604" s="37"/>
    </row>
    <row r="605" ht="15.75" customHeight="1">
      <c r="C605" s="22"/>
      <c r="D605" s="37"/>
    </row>
    <row r="606" ht="15.75" customHeight="1">
      <c r="C606" s="22"/>
      <c r="D606" s="37"/>
    </row>
    <row r="607" ht="15.75" customHeight="1">
      <c r="C607" s="22"/>
      <c r="D607" s="37"/>
    </row>
    <row r="608" ht="15.75" customHeight="1">
      <c r="C608" s="22"/>
      <c r="D608" s="37"/>
    </row>
    <row r="609" ht="15.75" customHeight="1">
      <c r="C609" s="22"/>
      <c r="D609" s="37"/>
    </row>
    <row r="610" ht="15.75" customHeight="1">
      <c r="C610" s="22"/>
      <c r="D610" s="37"/>
    </row>
    <row r="611" ht="15.75" customHeight="1">
      <c r="C611" s="22"/>
      <c r="D611" s="37"/>
    </row>
    <row r="612" ht="15.75" customHeight="1">
      <c r="C612" s="22"/>
      <c r="D612" s="37"/>
    </row>
    <row r="613" ht="15.75" customHeight="1">
      <c r="C613" s="22"/>
      <c r="D613" s="37"/>
    </row>
    <row r="614" ht="15.75" customHeight="1">
      <c r="C614" s="22"/>
      <c r="D614" s="37"/>
    </row>
    <row r="615" ht="15.75" customHeight="1">
      <c r="C615" s="22"/>
      <c r="D615" s="37"/>
    </row>
    <row r="616" ht="15.75" customHeight="1">
      <c r="C616" s="22"/>
      <c r="D616" s="37"/>
    </row>
    <row r="617" ht="15.75" customHeight="1">
      <c r="C617" s="22"/>
      <c r="D617" s="37"/>
    </row>
    <row r="618" ht="15.75" customHeight="1">
      <c r="C618" s="22"/>
      <c r="D618" s="37"/>
    </row>
    <row r="619" ht="15.75" customHeight="1">
      <c r="C619" s="22"/>
      <c r="D619" s="37"/>
    </row>
    <row r="620" ht="15.75" customHeight="1">
      <c r="C620" s="22"/>
      <c r="D620" s="37"/>
    </row>
    <row r="621" ht="15.75" customHeight="1">
      <c r="C621" s="22"/>
      <c r="D621" s="37"/>
    </row>
    <row r="622" ht="15.75" customHeight="1">
      <c r="C622" s="22"/>
      <c r="D622" s="37"/>
    </row>
    <row r="623" ht="15.75" customHeight="1">
      <c r="C623" s="22"/>
      <c r="D623" s="37"/>
    </row>
    <row r="624" ht="15.75" customHeight="1">
      <c r="C624" s="22"/>
      <c r="D624" s="37"/>
    </row>
    <row r="625" ht="15.75" customHeight="1">
      <c r="C625" s="22"/>
      <c r="D625" s="37"/>
    </row>
    <row r="626" ht="15.75" customHeight="1">
      <c r="C626" s="22"/>
      <c r="D626" s="37"/>
    </row>
    <row r="627" ht="15.75" customHeight="1">
      <c r="C627" s="22"/>
      <c r="D627" s="37"/>
    </row>
    <row r="628" ht="15.75" customHeight="1">
      <c r="C628" s="22"/>
      <c r="D628" s="37"/>
    </row>
    <row r="629" ht="15.75" customHeight="1">
      <c r="C629" s="22"/>
      <c r="D629" s="37"/>
    </row>
    <row r="630" ht="15.75" customHeight="1">
      <c r="C630" s="22"/>
      <c r="D630" s="37"/>
    </row>
    <row r="631" ht="15.75" customHeight="1">
      <c r="C631" s="22"/>
      <c r="D631" s="37"/>
    </row>
    <row r="632" ht="15.75" customHeight="1">
      <c r="C632" s="22"/>
      <c r="D632" s="37"/>
    </row>
    <row r="633" ht="15.75" customHeight="1">
      <c r="C633" s="22"/>
      <c r="D633" s="37"/>
    </row>
    <row r="634" ht="15.75" customHeight="1">
      <c r="C634" s="22"/>
      <c r="D634" s="37"/>
    </row>
    <row r="635" ht="15.75" customHeight="1">
      <c r="C635" s="22"/>
      <c r="D635" s="37"/>
    </row>
    <row r="636" ht="15.75" customHeight="1">
      <c r="C636" s="22"/>
      <c r="D636" s="37"/>
    </row>
    <row r="637" ht="15.75" customHeight="1">
      <c r="C637" s="22"/>
      <c r="D637" s="37"/>
    </row>
    <row r="638" ht="15.75" customHeight="1">
      <c r="C638" s="22"/>
      <c r="D638" s="37"/>
    </row>
    <row r="639" ht="15.75" customHeight="1">
      <c r="C639" s="22"/>
      <c r="D639" s="37"/>
    </row>
    <row r="640" ht="15.75" customHeight="1">
      <c r="C640" s="22"/>
      <c r="D640" s="37"/>
    </row>
    <row r="641" ht="15.75" customHeight="1">
      <c r="C641" s="22"/>
      <c r="D641" s="37"/>
    </row>
    <row r="642" ht="15.75" customHeight="1">
      <c r="C642" s="22"/>
      <c r="D642" s="37"/>
    </row>
    <row r="643" ht="15.75" customHeight="1">
      <c r="C643" s="22"/>
      <c r="D643" s="37"/>
    </row>
    <row r="644" ht="15.75" customHeight="1">
      <c r="C644" s="22"/>
      <c r="D644" s="37"/>
    </row>
    <row r="645" ht="15.75" customHeight="1">
      <c r="C645" s="22"/>
      <c r="D645" s="37"/>
    </row>
    <row r="646" ht="15.75" customHeight="1">
      <c r="C646" s="22"/>
      <c r="D646" s="37"/>
    </row>
    <row r="647" ht="15.75" customHeight="1">
      <c r="C647" s="22"/>
      <c r="D647" s="37"/>
    </row>
    <row r="648" ht="15.75" customHeight="1">
      <c r="C648" s="22"/>
      <c r="D648" s="37"/>
    </row>
    <row r="649" ht="15.75" customHeight="1">
      <c r="C649" s="22"/>
      <c r="D649" s="37"/>
    </row>
    <row r="650" ht="15.75" customHeight="1">
      <c r="C650" s="22"/>
      <c r="D650" s="37"/>
    </row>
    <row r="651" ht="15.75" customHeight="1">
      <c r="C651" s="22"/>
      <c r="D651" s="37"/>
    </row>
    <row r="652" ht="15.75" customHeight="1">
      <c r="C652" s="22"/>
      <c r="D652" s="37"/>
    </row>
    <row r="653" ht="15.75" customHeight="1">
      <c r="C653" s="22"/>
      <c r="D653" s="37"/>
    </row>
    <row r="654" ht="15.75" customHeight="1">
      <c r="C654" s="22"/>
      <c r="D654" s="37"/>
    </row>
    <row r="655" ht="15.75" customHeight="1">
      <c r="C655" s="22"/>
      <c r="D655" s="37"/>
    </row>
    <row r="656" ht="15.75" customHeight="1">
      <c r="C656" s="22"/>
      <c r="D656" s="37"/>
    </row>
    <row r="657" ht="15.75" customHeight="1">
      <c r="C657" s="22"/>
      <c r="D657" s="37"/>
    </row>
    <row r="658" ht="15.75" customHeight="1">
      <c r="C658" s="22"/>
      <c r="D658" s="37"/>
    </row>
    <row r="659" ht="15.75" customHeight="1">
      <c r="C659" s="22"/>
      <c r="D659" s="37"/>
    </row>
    <row r="660" ht="15.75" customHeight="1">
      <c r="C660" s="22"/>
      <c r="D660" s="37"/>
    </row>
    <row r="661" ht="15.75" customHeight="1">
      <c r="C661" s="22"/>
      <c r="D661" s="37"/>
    </row>
    <row r="662" ht="15.75" customHeight="1">
      <c r="C662" s="22"/>
      <c r="D662" s="37"/>
    </row>
    <row r="663" ht="15.75" customHeight="1">
      <c r="C663" s="22"/>
      <c r="D663" s="37"/>
    </row>
    <row r="664" ht="15.75" customHeight="1">
      <c r="C664" s="22"/>
      <c r="D664" s="37"/>
    </row>
    <row r="665" ht="15.75" customHeight="1">
      <c r="C665" s="22"/>
      <c r="D665" s="37"/>
    </row>
    <row r="666" ht="15.75" customHeight="1">
      <c r="C666" s="22"/>
      <c r="D666" s="37"/>
    </row>
    <row r="667" ht="15.75" customHeight="1">
      <c r="C667" s="22"/>
      <c r="D667" s="37"/>
    </row>
    <row r="668" ht="15.75" customHeight="1">
      <c r="C668" s="22"/>
      <c r="D668" s="37"/>
    </row>
    <row r="669" ht="15.75" customHeight="1">
      <c r="C669" s="22"/>
      <c r="D669" s="37"/>
    </row>
    <row r="670" ht="15.75" customHeight="1">
      <c r="C670" s="22"/>
      <c r="D670" s="37"/>
    </row>
    <row r="671" ht="15.75" customHeight="1">
      <c r="C671" s="22"/>
      <c r="D671" s="37"/>
    </row>
    <row r="672" ht="15.75" customHeight="1">
      <c r="C672" s="22"/>
      <c r="D672" s="37"/>
    </row>
    <row r="673" ht="15.75" customHeight="1">
      <c r="C673" s="22"/>
      <c r="D673" s="37"/>
    </row>
    <row r="674" ht="15.75" customHeight="1">
      <c r="C674" s="22"/>
      <c r="D674" s="37"/>
    </row>
    <row r="675" ht="15.75" customHeight="1">
      <c r="C675" s="22"/>
      <c r="D675" s="37"/>
    </row>
    <row r="676" ht="15.75" customHeight="1">
      <c r="C676" s="22"/>
      <c r="D676" s="37"/>
    </row>
    <row r="677" ht="15.75" customHeight="1">
      <c r="C677" s="22"/>
      <c r="D677" s="37"/>
    </row>
    <row r="678" ht="15.75" customHeight="1">
      <c r="C678" s="22"/>
      <c r="D678" s="37"/>
    </row>
    <row r="679" ht="15.75" customHeight="1">
      <c r="C679" s="22"/>
      <c r="D679" s="37"/>
    </row>
    <row r="680" ht="15.75" customHeight="1">
      <c r="C680" s="22"/>
      <c r="D680" s="37"/>
    </row>
    <row r="681" ht="15.75" customHeight="1">
      <c r="C681" s="22"/>
      <c r="D681" s="37"/>
    </row>
    <row r="682" ht="15.75" customHeight="1">
      <c r="C682" s="22"/>
      <c r="D682" s="37"/>
    </row>
    <row r="683" ht="15.75" customHeight="1">
      <c r="C683" s="22"/>
      <c r="D683" s="37"/>
    </row>
    <row r="684" ht="15.75" customHeight="1">
      <c r="C684" s="22"/>
      <c r="D684" s="37"/>
    </row>
    <row r="685" ht="15.75" customHeight="1">
      <c r="C685" s="22"/>
      <c r="D685" s="37"/>
    </row>
    <row r="686" ht="15.75" customHeight="1">
      <c r="C686" s="22"/>
      <c r="D686" s="37"/>
    </row>
    <row r="687" ht="15.75" customHeight="1">
      <c r="C687" s="22"/>
      <c r="D687" s="37"/>
    </row>
    <row r="688" ht="15.75" customHeight="1">
      <c r="C688" s="22"/>
      <c r="D688" s="37"/>
    </row>
    <row r="689" ht="15.75" customHeight="1">
      <c r="C689" s="22"/>
      <c r="D689" s="37"/>
    </row>
    <row r="690" ht="15.75" customHeight="1">
      <c r="C690" s="22"/>
      <c r="D690" s="37"/>
    </row>
    <row r="691" ht="15.75" customHeight="1">
      <c r="C691" s="22"/>
      <c r="D691" s="37"/>
    </row>
    <row r="692" ht="15.75" customHeight="1">
      <c r="C692" s="22"/>
      <c r="D692" s="37"/>
    </row>
    <row r="693" ht="15.75" customHeight="1">
      <c r="C693" s="22"/>
      <c r="D693" s="37"/>
    </row>
    <row r="694" ht="15.75" customHeight="1">
      <c r="C694" s="22"/>
      <c r="D694" s="37"/>
    </row>
    <row r="695" ht="15.75" customHeight="1">
      <c r="C695" s="22"/>
      <c r="D695" s="37"/>
    </row>
    <row r="696" ht="15.75" customHeight="1">
      <c r="C696" s="22"/>
      <c r="D696" s="37"/>
    </row>
    <row r="697" ht="15.75" customHeight="1">
      <c r="C697" s="22"/>
      <c r="D697" s="37"/>
    </row>
    <row r="698" ht="15.75" customHeight="1">
      <c r="C698" s="22"/>
      <c r="D698" s="37"/>
    </row>
    <row r="699" ht="15.75" customHeight="1">
      <c r="C699" s="22"/>
      <c r="D699" s="37"/>
    </row>
    <row r="700" ht="15.75" customHeight="1">
      <c r="C700" s="22"/>
      <c r="D700" s="37"/>
    </row>
    <row r="701" ht="15.75" customHeight="1">
      <c r="C701" s="22"/>
      <c r="D701" s="37"/>
    </row>
    <row r="702" ht="15.75" customHeight="1">
      <c r="C702" s="22"/>
      <c r="D702" s="37"/>
    </row>
    <row r="703" ht="15.75" customHeight="1">
      <c r="C703" s="22"/>
      <c r="D703" s="37"/>
    </row>
    <row r="704" ht="15.75" customHeight="1">
      <c r="C704" s="22"/>
      <c r="D704" s="37"/>
    </row>
    <row r="705" ht="15.75" customHeight="1">
      <c r="C705" s="22"/>
      <c r="D705" s="37"/>
    </row>
    <row r="706" ht="15.75" customHeight="1">
      <c r="C706" s="22"/>
      <c r="D706" s="37"/>
    </row>
    <row r="707" ht="15.75" customHeight="1">
      <c r="C707" s="22"/>
      <c r="D707" s="37"/>
    </row>
    <row r="708" ht="15.75" customHeight="1">
      <c r="C708" s="22"/>
      <c r="D708" s="37"/>
    </row>
    <row r="709" ht="15.75" customHeight="1">
      <c r="C709" s="22"/>
      <c r="D709" s="37"/>
    </row>
    <row r="710" ht="15.75" customHeight="1">
      <c r="C710" s="22"/>
      <c r="D710" s="37"/>
    </row>
    <row r="711" ht="15.75" customHeight="1">
      <c r="C711" s="22"/>
      <c r="D711" s="37"/>
    </row>
    <row r="712" ht="15.75" customHeight="1">
      <c r="C712" s="22"/>
      <c r="D712" s="37"/>
    </row>
    <row r="713" ht="15.75" customHeight="1">
      <c r="C713" s="22"/>
      <c r="D713" s="37"/>
    </row>
    <row r="714" ht="15.75" customHeight="1">
      <c r="C714" s="22"/>
      <c r="D714" s="37"/>
    </row>
    <row r="715" ht="15.75" customHeight="1">
      <c r="C715" s="22"/>
      <c r="D715" s="37"/>
    </row>
    <row r="716" ht="15.75" customHeight="1">
      <c r="C716" s="22"/>
      <c r="D716" s="37"/>
    </row>
    <row r="717" ht="15.75" customHeight="1">
      <c r="C717" s="22"/>
      <c r="D717" s="37"/>
    </row>
    <row r="718" ht="15.75" customHeight="1">
      <c r="C718" s="22"/>
      <c r="D718" s="37"/>
    </row>
    <row r="719" ht="15.75" customHeight="1">
      <c r="C719" s="22"/>
      <c r="D719" s="37"/>
    </row>
    <row r="720" ht="15.75" customHeight="1">
      <c r="C720" s="22"/>
      <c r="D720" s="37"/>
    </row>
    <row r="721" ht="15.75" customHeight="1">
      <c r="C721" s="22"/>
      <c r="D721" s="37"/>
    </row>
    <row r="722" ht="15.75" customHeight="1">
      <c r="C722" s="22"/>
      <c r="D722" s="37"/>
    </row>
    <row r="723" ht="15.75" customHeight="1">
      <c r="C723" s="22"/>
      <c r="D723" s="37"/>
    </row>
    <row r="724" ht="15.75" customHeight="1">
      <c r="C724" s="22"/>
      <c r="D724" s="37"/>
    </row>
    <row r="725" ht="15.75" customHeight="1">
      <c r="C725" s="22"/>
      <c r="D725" s="37"/>
    </row>
    <row r="726" ht="15.75" customHeight="1">
      <c r="C726" s="22"/>
      <c r="D726" s="37"/>
    </row>
    <row r="727" ht="15.75" customHeight="1">
      <c r="C727" s="22"/>
      <c r="D727" s="37"/>
    </row>
    <row r="728" ht="15.75" customHeight="1">
      <c r="C728" s="22"/>
      <c r="D728" s="37"/>
    </row>
    <row r="729" ht="15.75" customHeight="1">
      <c r="C729" s="22"/>
      <c r="D729" s="37"/>
    </row>
    <row r="730" ht="15.75" customHeight="1">
      <c r="C730" s="22"/>
      <c r="D730" s="37"/>
    </row>
    <row r="731" ht="15.75" customHeight="1">
      <c r="C731" s="22"/>
      <c r="D731" s="37"/>
    </row>
    <row r="732" ht="15.75" customHeight="1">
      <c r="C732" s="22"/>
      <c r="D732" s="37"/>
    </row>
    <row r="733" ht="15.75" customHeight="1">
      <c r="C733" s="22"/>
      <c r="D733" s="37"/>
    </row>
    <row r="734" ht="15.75" customHeight="1">
      <c r="C734" s="22"/>
      <c r="D734" s="37"/>
    </row>
    <row r="735" ht="15.75" customHeight="1">
      <c r="C735" s="22"/>
      <c r="D735" s="37"/>
    </row>
    <row r="736" ht="15.75" customHeight="1">
      <c r="C736" s="22"/>
      <c r="D736" s="37"/>
    </row>
    <row r="737" ht="15.75" customHeight="1">
      <c r="C737" s="22"/>
      <c r="D737" s="37"/>
    </row>
    <row r="738" ht="15.75" customHeight="1">
      <c r="C738" s="22"/>
      <c r="D738" s="37"/>
    </row>
    <row r="739" ht="15.75" customHeight="1">
      <c r="C739" s="22"/>
      <c r="D739" s="37"/>
    </row>
    <row r="740" ht="15.75" customHeight="1">
      <c r="C740" s="22"/>
      <c r="D740" s="37"/>
    </row>
    <row r="741" ht="15.75" customHeight="1">
      <c r="C741" s="22"/>
      <c r="D741" s="37"/>
    </row>
    <row r="742" ht="15.75" customHeight="1">
      <c r="C742" s="22"/>
      <c r="D742" s="37"/>
    </row>
    <row r="743" ht="15.75" customHeight="1">
      <c r="C743" s="22"/>
      <c r="D743" s="37"/>
    </row>
    <row r="744" ht="15.75" customHeight="1">
      <c r="C744" s="22"/>
      <c r="D744" s="37"/>
    </row>
    <row r="745" ht="15.75" customHeight="1">
      <c r="C745" s="22"/>
      <c r="D745" s="37"/>
    </row>
    <row r="746" ht="15.75" customHeight="1">
      <c r="C746" s="22"/>
      <c r="D746" s="37"/>
    </row>
    <row r="747" ht="15.75" customHeight="1">
      <c r="C747" s="22"/>
      <c r="D747" s="37"/>
    </row>
    <row r="748" ht="15.75" customHeight="1">
      <c r="C748" s="22"/>
      <c r="D748" s="37"/>
    </row>
    <row r="749" ht="15.75" customHeight="1">
      <c r="C749" s="22"/>
      <c r="D749" s="37"/>
    </row>
    <row r="750" ht="15.75" customHeight="1">
      <c r="C750" s="22"/>
      <c r="D750" s="37"/>
    </row>
    <row r="751" ht="15.75" customHeight="1">
      <c r="C751" s="22"/>
      <c r="D751" s="37"/>
    </row>
    <row r="752" ht="15.75" customHeight="1">
      <c r="C752" s="22"/>
      <c r="D752" s="37"/>
    </row>
    <row r="753" ht="15.75" customHeight="1">
      <c r="C753" s="22"/>
      <c r="D753" s="37"/>
    </row>
    <row r="754" ht="15.75" customHeight="1">
      <c r="C754" s="22"/>
      <c r="D754" s="37"/>
    </row>
    <row r="755" ht="15.75" customHeight="1">
      <c r="C755" s="22"/>
      <c r="D755" s="37"/>
    </row>
    <row r="756" ht="15.75" customHeight="1">
      <c r="C756" s="22"/>
      <c r="D756" s="37"/>
    </row>
    <row r="757" ht="15.75" customHeight="1">
      <c r="C757" s="22"/>
      <c r="D757" s="37"/>
    </row>
    <row r="758" ht="15.75" customHeight="1">
      <c r="C758" s="22"/>
      <c r="D758" s="37"/>
    </row>
    <row r="759" ht="15.75" customHeight="1">
      <c r="C759" s="22"/>
      <c r="D759" s="37"/>
    </row>
    <row r="760" ht="15.75" customHeight="1">
      <c r="C760" s="22"/>
      <c r="D760" s="37"/>
    </row>
    <row r="761" ht="15.75" customHeight="1">
      <c r="C761" s="22"/>
      <c r="D761" s="37"/>
    </row>
    <row r="762" ht="15.75" customHeight="1">
      <c r="C762" s="22"/>
      <c r="D762" s="37"/>
    </row>
    <row r="763" ht="15.75" customHeight="1">
      <c r="C763" s="22"/>
      <c r="D763" s="37"/>
    </row>
    <row r="764" ht="15.75" customHeight="1">
      <c r="C764" s="22"/>
      <c r="D764" s="37"/>
    </row>
    <row r="765" ht="15.75" customHeight="1">
      <c r="C765" s="22"/>
      <c r="D765" s="37"/>
    </row>
    <row r="766" ht="15.75" customHeight="1">
      <c r="C766" s="22"/>
      <c r="D766" s="37"/>
    </row>
    <row r="767" ht="15.75" customHeight="1">
      <c r="C767" s="22"/>
      <c r="D767" s="37"/>
    </row>
    <row r="768" ht="15.75" customHeight="1">
      <c r="C768" s="22"/>
      <c r="D768" s="37"/>
    </row>
    <row r="769" ht="15.75" customHeight="1">
      <c r="C769" s="22"/>
      <c r="D769" s="37"/>
    </row>
    <row r="770" ht="15.75" customHeight="1">
      <c r="C770" s="22"/>
      <c r="D770" s="37"/>
    </row>
    <row r="771" ht="15.75" customHeight="1">
      <c r="C771" s="22"/>
      <c r="D771" s="37"/>
    </row>
    <row r="772" ht="15.75" customHeight="1">
      <c r="C772" s="22"/>
      <c r="D772" s="37"/>
    </row>
    <row r="773" ht="15.75" customHeight="1">
      <c r="C773" s="22"/>
      <c r="D773" s="37"/>
    </row>
    <row r="774" ht="15.75" customHeight="1">
      <c r="C774" s="22"/>
      <c r="D774" s="37"/>
    </row>
    <row r="775" ht="15.75" customHeight="1">
      <c r="C775" s="22"/>
      <c r="D775" s="37"/>
    </row>
    <row r="776" ht="15.75" customHeight="1">
      <c r="C776" s="22"/>
      <c r="D776" s="37"/>
    </row>
    <row r="777" ht="15.75" customHeight="1">
      <c r="C777" s="22"/>
      <c r="D777" s="37"/>
    </row>
    <row r="778" ht="15.75" customHeight="1">
      <c r="C778" s="22"/>
      <c r="D778" s="37"/>
    </row>
    <row r="779" ht="15.75" customHeight="1">
      <c r="C779" s="22"/>
      <c r="D779" s="37"/>
    </row>
    <row r="780" ht="15.75" customHeight="1">
      <c r="C780" s="22"/>
      <c r="D780" s="37"/>
    </row>
    <row r="781" ht="15.75" customHeight="1">
      <c r="C781" s="22"/>
      <c r="D781" s="37"/>
    </row>
    <row r="782" ht="15.75" customHeight="1">
      <c r="C782" s="22"/>
      <c r="D782" s="37"/>
    </row>
    <row r="783" ht="15.75" customHeight="1">
      <c r="C783" s="22"/>
      <c r="D783" s="37"/>
    </row>
    <row r="784" ht="15.75" customHeight="1">
      <c r="C784" s="22"/>
      <c r="D784" s="37"/>
    </row>
    <row r="785" ht="15.75" customHeight="1">
      <c r="C785" s="22"/>
      <c r="D785" s="37"/>
    </row>
    <row r="786" ht="15.75" customHeight="1">
      <c r="C786" s="22"/>
      <c r="D786" s="37"/>
    </row>
    <row r="787" ht="15.75" customHeight="1">
      <c r="C787" s="22"/>
      <c r="D787" s="37"/>
    </row>
    <row r="788" ht="15.75" customHeight="1">
      <c r="C788" s="22"/>
      <c r="D788" s="37"/>
    </row>
    <row r="789" ht="15.75" customHeight="1">
      <c r="C789" s="22"/>
      <c r="D789" s="37"/>
    </row>
    <row r="790" ht="15.75" customHeight="1">
      <c r="C790" s="22"/>
      <c r="D790" s="37"/>
    </row>
    <row r="791" ht="15.75" customHeight="1">
      <c r="C791" s="22"/>
      <c r="D791" s="37"/>
    </row>
    <row r="792" ht="15.75" customHeight="1">
      <c r="C792" s="22"/>
      <c r="D792" s="37"/>
    </row>
    <row r="793" ht="15.75" customHeight="1">
      <c r="C793" s="22"/>
      <c r="D793" s="37"/>
    </row>
    <row r="794" ht="15.75" customHeight="1">
      <c r="C794" s="22"/>
      <c r="D794" s="37"/>
    </row>
    <row r="795" ht="15.75" customHeight="1">
      <c r="C795" s="22"/>
      <c r="D795" s="37"/>
    </row>
    <row r="796" ht="15.75" customHeight="1">
      <c r="C796" s="22"/>
      <c r="D796" s="37"/>
    </row>
    <row r="797" ht="15.75" customHeight="1">
      <c r="C797" s="22"/>
      <c r="D797" s="37"/>
    </row>
    <row r="798" ht="15.75" customHeight="1">
      <c r="C798" s="22"/>
      <c r="D798" s="37"/>
    </row>
    <row r="799" ht="15.75" customHeight="1">
      <c r="C799" s="22"/>
      <c r="D799" s="37"/>
    </row>
    <row r="800" ht="15.75" customHeight="1">
      <c r="C800" s="22"/>
      <c r="D800" s="37"/>
    </row>
    <row r="801" ht="15.75" customHeight="1">
      <c r="C801" s="22"/>
      <c r="D801" s="37"/>
    </row>
    <row r="802" ht="15.75" customHeight="1">
      <c r="C802" s="22"/>
      <c r="D802" s="37"/>
    </row>
    <row r="803" ht="15.75" customHeight="1">
      <c r="C803" s="22"/>
      <c r="D803" s="37"/>
    </row>
    <row r="804" ht="15.75" customHeight="1">
      <c r="C804" s="22"/>
      <c r="D804" s="37"/>
    </row>
    <row r="805" ht="15.75" customHeight="1">
      <c r="C805" s="22"/>
      <c r="D805" s="37"/>
    </row>
    <row r="806" ht="15.75" customHeight="1">
      <c r="C806" s="22"/>
      <c r="D806" s="37"/>
    </row>
    <row r="807" ht="15.75" customHeight="1">
      <c r="C807" s="22"/>
      <c r="D807" s="37"/>
    </row>
    <row r="808" ht="15.75" customHeight="1">
      <c r="C808" s="22"/>
      <c r="D808" s="37"/>
    </row>
    <row r="809" ht="15.75" customHeight="1">
      <c r="C809" s="22"/>
      <c r="D809" s="37"/>
    </row>
    <row r="810" ht="15.75" customHeight="1">
      <c r="C810" s="22"/>
      <c r="D810" s="37"/>
    </row>
    <row r="811" ht="15.75" customHeight="1">
      <c r="C811" s="22"/>
      <c r="D811" s="37"/>
    </row>
    <row r="812" ht="15.75" customHeight="1">
      <c r="C812" s="22"/>
      <c r="D812" s="37"/>
    </row>
    <row r="813" ht="15.75" customHeight="1">
      <c r="C813" s="22"/>
      <c r="D813" s="37"/>
    </row>
    <row r="814" ht="15.75" customHeight="1">
      <c r="C814" s="22"/>
      <c r="D814" s="37"/>
    </row>
    <row r="815" ht="15.75" customHeight="1">
      <c r="C815" s="22"/>
      <c r="D815" s="37"/>
    </row>
    <row r="816" ht="15.75" customHeight="1">
      <c r="C816" s="22"/>
      <c r="D816" s="37"/>
    </row>
    <row r="817" ht="15.75" customHeight="1">
      <c r="C817" s="22"/>
      <c r="D817" s="37"/>
    </row>
    <row r="818" ht="15.75" customHeight="1">
      <c r="C818" s="22"/>
      <c r="D818" s="37"/>
    </row>
    <row r="819" ht="15.75" customHeight="1">
      <c r="C819" s="22"/>
      <c r="D819" s="37"/>
    </row>
    <row r="820" ht="15.75" customHeight="1">
      <c r="C820" s="22"/>
      <c r="D820" s="37"/>
    </row>
    <row r="821" ht="15.75" customHeight="1">
      <c r="C821" s="22"/>
      <c r="D821" s="37"/>
    </row>
    <row r="822" ht="15.75" customHeight="1">
      <c r="C822" s="22"/>
      <c r="D822" s="37"/>
    </row>
    <row r="823" ht="15.75" customHeight="1">
      <c r="C823" s="22"/>
      <c r="D823" s="37"/>
    </row>
    <row r="824" ht="15.75" customHeight="1">
      <c r="C824" s="22"/>
      <c r="D824" s="37"/>
    </row>
    <row r="825" ht="15.75" customHeight="1">
      <c r="C825" s="22"/>
      <c r="D825" s="37"/>
    </row>
    <row r="826" ht="15.75" customHeight="1">
      <c r="C826" s="22"/>
      <c r="D826" s="37"/>
    </row>
    <row r="827" ht="15.75" customHeight="1">
      <c r="C827" s="22"/>
      <c r="D827" s="37"/>
    </row>
    <row r="828" ht="15.75" customHeight="1">
      <c r="C828" s="22"/>
      <c r="D828" s="37"/>
    </row>
    <row r="829" ht="15.75" customHeight="1">
      <c r="C829" s="22"/>
      <c r="D829" s="37"/>
    </row>
    <row r="830" ht="15.75" customHeight="1">
      <c r="C830" s="22"/>
      <c r="D830" s="37"/>
    </row>
    <row r="831" ht="15.75" customHeight="1">
      <c r="C831" s="22"/>
      <c r="D831" s="37"/>
    </row>
    <row r="832" ht="15.75" customHeight="1">
      <c r="C832" s="22"/>
      <c r="D832" s="37"/>
    </row>
    <row r="833" ht="15.75" customHeight="1">
      <c r="C833" s="22"/>
      <c r="D833" s="37"/>
    </row>
    <row r="834" ht="15.75" customHeight="1">
      <c r="C834" s="22"/>
      <c r="D834" s="37"/>
    </row>
    <row r="835" ht="15.75" customHeight="1">
      <c r="C835" s="22"/>
      <c r="D835" s="37"/>
    </row>
    <row r="836" ht="15.75" customHeight="1">
      <c r="C836" s="22"/>
      <c r="D836" s="37"/>
    </row>
    <row r="837" ht="15.75" customHeight="1">
      <c r="C837" s="22"/>
      <c r="D837" s="37"/>
    </row>
    <row r="838" ht="15.75" customHeight="1">
      <c r="C838" s="22"/>
      <c r="D838" s="37"/>
    </row>
    <row r="839" ht="15.75" customHeight="1">
      <c r="C839" s="22"/>
      <c r="D839" s="37"/>
    </row>
    <row r="840" ht="15.75" customHeight="1">
      <c r="C840" s="22"/>
      <c r="D840" s="37"/>
    </row>
    <row r="841" ht="15.75" customHeight="1">
      <c r="C841" s="22"/>
      <c r="D841" s="37"/>
    </row>
    <row r="842" ht="15.75" customHeight="1">
      <c r="C842" s="22"/>
      <c r="D842" s="37"/>
    </row>
    <row r="843" ht="15.75" customHeight="1">
      <c r="C843" s="22"/>
      <c r="D843" s="37"/>
    </row>
    <row r="844" ht="15.75" customHeight="1">
      <c r="C844" s="22"/>
      <c r="D844" s="37"/>
    </row>
    <row r="845" ht="15.75" customHeight="1">
      <c r="C845" s="22"/>
      <c r="D845" s="37"/>
    </row>
    <row r="846" ht="15.75" customHeight="1">
      <c r="C846" s="22"/>
      <c r="D846" s="37"/>
    </row>
    <row r="847" ht="15.75" customHeight="1">
      <c r="C847" s="22"/>
      <c r="D847" s="37"/>
    </row>
    <row r="848" ht="15.75" customHeight="1">
      <c r="C848" s="22"/>
      <c r="D848" s="37"/>
    </row>
    <row r="849" ht="15.75" customHeight="1">
      <c r="C849" s="22"/>
      <c r="D849" s="37"/>
    </row>
    <row r="850" ht="15.75" customHeight="1">
      <c r="C850" s="22"/>
      <c r="D850" s="37"/>
    </row>
    <row r="851" ht="15.75" customHeight="1">
      <c r="C851" s="22"/>
      <c r="D851" s="37"/>
    </row>
    <row r="852" ht="15.75" customHeight="1">
      <c r="C852" s="22"/>
      <c r="D852" s="37"/>
    </row>
    <row r="853" ht="15.75" customHeight="1">
      <c r="C853" s="22"/>
      <c r="D853" s="37"/>
    </row>
    <row r="854" ht="15.75" customHeight="1">
      <c r="C854" s="22"/>
      <c r="D854" s="37"/>
    </row>
    <row r="855" ht="15.75" customHeight="1">
      <c r="C855" s="22"/>
      <c r="D855" s="37"/>
    </row>
    <row r="856" ht="15.75" customHeight="1">
      <c r="C856" s="22"/>
      <c r="D856" s="37"/>
    </row>
    <row r="857" ht="15.75" customHeight="1">
      <c r="C857" s="22"/>
      <c r="D857" s="37"/>
    </row>
    <row r="858" ht="15.75" customHeight="1">
      <c r="C858" s="22"/>
      <c r="D858" s="37"/>
    </row>
    <row r="859" ht="15.75" customHeight="1">
      <c r="C859" s="22"/>
      <c r="D859" s="37"/>
    </row>
    <row r="860" ht="15.75" customHeight="1">
      <c r="C860" s="22"/>
      <c r="D860" s="37"/>
    </row>
    <row r="861" ht="15.75" customHeight="1">
      <c r="C861" s="22"/>
      <c r="D861" s="37"/>
    </row>
    <row r="862" ht="15.75" customHeight="1">
      <c r="C862" s="22"/>
      <c r="D862" s="37"/>
    </row>
    <row r="863" ht="15.75" customHeight="1">
      <c r="C863" s="22"/>
      <c r="D863" s="37"/>
    </row>
    <row r="864" ht="15.75" customHeight="1">
      <c r="C864" s="22"/>
      <c r="D864" s="37"/>
    </row>
    <row r="865" ht="15.75" customHeight="1">
      <c r="C865" s="22"/>
      <c r="D865" s="37"/>
    </row>
    <row r="866" ht="15.75" customHeight="1">
      <c r="C866" s="22"/>
      <c r="D866" s="37"/>
    </row>
    <row r="867" ht="15.75" customHeight="1">
      <c r="C867" s="22"/>
      <c r="D867" s="37"/>
    </row>
    <row r="868" ht="15.75" customHeight="1">
      <c r="C868" s="22"/>
      <c r="D868" s="37"/>
    </row>
    <row r="869" ht="15.75" customHeight="1">
      <c r="C869" s="22"/>
      <c r="D869" s="37"/>
    </row>
    <row r="870" ht="15.75" customHeight="1">
      <c r="C870" s="22"/>
      <c r="D870" s="37"/>
    </row>
    <row r="871" ht="15.75" customHeight="1">
      <c r="C871" s="22"/>
      <c r="D871" s="37"/>
    </row>
    <row r="872" ht="15.75" customHeight="1">
      <c r="C872" s="22"/>
      <c r="D872" s="37"/>
    </row>
    <row r="873" ht="15.75" customHeight="1">
      <c r="C873" s="22"/>
      <c r="D873" s="37"/>
    </row>
    <row r="874" ht="15.75" customHeight="1">
      <c r="C874" s="22"/>
      <c r="D874" s="37"/>
    </row>
    <row r="875" ht="15.75" customHeight="1">
      <c r="C875" s="22"/>
      <c r="D875" s="37"/>
    </row>
    <row r="876" ht="15.75" customHeight="1">
      <c r="C876" s="22"/>
      <c r="D876" s="37"/>
    </row>
    <row r="877" ht="15.75" customHeight="1">
      <c r="C877" s="22"/>
      <c r="D877" s="37"/>
    </row>
    <row r="878" ht="15.75" customHeight="1">
      <c r="C878" s="22"/>
      <c r="D878" s="37"/>
    </row>
    <row r="879" ht="15.75" customHeight="1">
      <c r="C879" s="22"/>
      <c r="D879" s="37"/>
    </row>
    <row r="880" ht="15.75" customHeight="1">
      <c r="C880" s="22"/>
      <c r="D880" s="37"/>
    </row>
    <row r="881" ht="15.75" customHeight="1">
      <c r="C881" s="22"/>
      <c r="D881" s="37"/>
    </row>
    <row r="882" ht="15.75" customHeight="1">
      <c r="C882" s="22"/>
      <c r="D882" s="37"/>
    </row>
    <row r="883" ht="15.75" customHeight="1">
      <c r="C883" s="22"/>
      <c r="D883" s="37"/>
    </row>
    <row r="884" ht="15.75" customHeight="1">
      <c r="C884" s="22"/>
      <c r="D884" s="37"/>
    </row>
    <row r="885" ht="15.75" customHeight="1">
      <c r="C885" s="22"/>
      <c r="D885" s="37"/>
    </row>
    <row r="886" ht="15.75" customHeight="1">
      <c r="C886" s="22"/>
      <c r="D886" s="37"/>
    </row>
    <row r="887" ht="15.75" customHeight="1">
      <c r="C887" s="22"/>
      <c r="D887" s="37"/>
    </row>
    <row r="888" ht="15.75" customHeight="1">
      <c r="C888" s="22"/>
      <c r="D888" s="37"/>
    </row>
    <row r="889" ht="15.75" customHeight="1">
      <c r="C889" s="22"/>
      <c r="D889" s="37"/>
    </row>
    <row r="890" ht="15.75" customHeight="1">
      <c r="C890" s="22"/>
      <c r="D890" s="37"/>
    </row>
    <row r="891" ht="15.75" customHeight="1">
      <c r="C891" s="22"/>
      <c r="D891" s="37"/>
    </row>
    <row r="892" ht="15.75" customHeight="1">
      <c r="C892" s="22"/>
      <c r="D892" s="37"/>
    </row>
    <row r="893" ht="15.75" customHeight="1">
      <c r="C893" s="22"/>
      <c r="D893" s="37"/>
    </row>
    <row r="894" ht="15.75" customHeight="1">
      <c r="C894" s="22"/>
      <c r="D894" s="37"/>
    </row>
    <row r="895" ht="15.75" customHeight="1">
      <c r="C895" s="22"/>
      <c r="D895" s="37"/>
    </row>
    <row r="896" ht="15.75" customHeight="1">
      <c r="C896" s="22"/>
      <c r="D896" s="37"/>
    </row>
    <row r="897" ht="15.75" customHeight="1">
      <c r="C897" s="22"/>
      <c r="D897" s="37"/>
    </row>
    <row r="898" ht="15.75" customHeight="1">
      <c r="C898" s="22"/>
      <c r="D898" s="37"/>
    </row>
    <row r="899" ht="15.75" customHeight="1">
      <c r="C899" s="22"/>
      <c r="D899" s="37"/>
    </row>
    <row r="900" ht="15.75" customHeight="1">
      <c r="C900" s="22"/>
      <c r="D900" s="37"/>
    </row>
    <row r="901" ht="15.75" customHeight="1">
      <c r="C901" s="22"/>
      <c r="D901" s="37"/>
    </row>
    <row r="902" ht="15.75" customHeight="1">
      <c r="C902" s="22"/>
      <c r="D902" s="37"/>
    </row>
    <row r="903" ht="15.75" customHeight="1">
      <c r="C903" s="22"/>
      <c r="D903" s="37"/>
    </row>
    <row r="904" ht="15.75" customHeight="1">
      <c r="C904" s="22"/>
      <c r="D904" s="37"/>
    </row>
    <row r="905" ht="15.75" customHeight="1">
      <c r="C905" s="22"/>
      <c r="D905" s="37"/>
    </row>
    <row r="906" ht="15.75" customHeight="1">
      <c r="C906" s="22"/>
      <c r="D906" s="37"/>
    </row>
    <row r="907" ht="15.75" customHeight="1">
      <c r="C907" s="22"/>
      <c r="D907" s="37"/>
    </row>
    <row r="908" ht="15.75" customHeight="1">
      <c r="C908" s="22"/>
      <c r="D908" s="37"/>
    </row>
    <row r="909" ht="15.75" customHeight="1">
      <c r="C909" s="22"/>
      <c r="D909" s="37"/>
    </row>
    <row r="910" ht="15.75" customHeight="1">
      <c r="C910" s="22"/>
      <c r="D910" s="37"/>
    </row>
    <row r="911" ht="15.75" customHeight="1">
      <c r="C911" s="22"/>
      <c r="D911" s="37"/>
    </row>
    <row r="912" ht="15.75" customHeight="1">
      <c r="C912" s="22"/>
      <c r="D912" s="37"/>
    </row>
    <row r="913" ht="15.75" customHeight="1">
      <c r="C913" s="22"/>
      <c r="D913" s="37"/>
    </row>
    <row r="914" ht="15.75" customHeight="1">
      <c r="C914" s="22"/>
      <c r="D914" s="37"/>
    </row>
    <row r="915" ht="15.75" customHeight="1">
      <c r="C915" s="22"/>
      <c r="D915" s="37"/>
    </row>
    <row r="916" ht="15.75" customHeight="1">
      <c r="C916" s="22"/>
      <c r="D916" s="37"/>
    </row>
    <row r="917" ht="15.75" customHeight="1">
      <c r="C917" s="22"/>
      <c r="D917" s="37"/>
    </row>
    <row r="918" ht="15.75" customHeight="1">
      <c r="C918" s="22"/>
      <c r="D918" s="37"/>
    </row>
    <row r="919" ht="15.75" customHeight="1">
      <c r="C919" s="22"/>
      <c r="D919" s="37"/>
    </row>
    <row r="920" ht="15.75" customHeight="1">
      <c r="C920" s="22"/>
      <c r="D920" s="37"/>
    </row>
    <row r="921" ht="15.75" customHeight="1">
      <c r="C921" s="22"/>
      <c r="D921" s="37"/>
    </row>
    <row r="922" ht="15.75" customHeight="1">
      <c r="C922" s="22"/>
      <c r="D922" s="37"/>
    </row>
    <row r="923" ht="15.75" customHeight="1">
      <c r="C923" s="22"/>
      <c r="D923" s="37"/>
    </row>
    <row r="924" ht="15.75" customHeight="1">
      <c r="C924" s="22"/>
      <c r="D924" s="37"/>
    </row>
    <row r="925" ht="15.75" customHeight="1">
      <c r="C925" s="22"/>
      <c r="D925" s="37"/>
    </row>
    <row r="926" ht="15.75" customHeight="1">
      <c r="C926" s="22"/>
      <c r="D926" s="37"/>
    </row>
    <row r="927" ht="15.75" customHeight="1">
      <c r="C927" s="22"/>
      <c r="D927" s="37"/>
    </row>
    <row r="928" ht="15.75" customHeight="1">
      <c r="C928" s="22"/>
      <c r="D928" s="37"/>
    </row>
    <row r="929" ht="15.75" customHeight="1">
      <c r="C929" s="22"/>
      <c r="D929" s="37"/>
    </row>
    <row r="930" ht="15.75" customHeight="1">
      <c r="C930" s="22"/>
      <c r="D930" s="37"/>
    </row>
    <row r="931" ht="15.75" customHeight="1">
      <c r="C931" s="22"/>
      <c r="D931" s="37"/>
    </row>
    <row r="932" ht="15.75" customHeight="1">
      <c r="C932" s="22"/>
      <c r="D932" s="37"/>
    </row>
    <row r="933" ht="15.75" customHeight="1">
      <c r="C933" s="22"/>
      <c r="D933" s="37"/>
    </row>
    <row r="934" ht="15.75" customHeight="1">
      <c r="C934" s="22"/>
      <c r="D934" s="37"/>
    </row>
    <row r="935" ht="15.75" customHeight="1">
      <c r="C935" s="22"/>
      <c r="D935" s="37"/>
    </row>
    <row r="936" ht="15.75" customHeight="1">
      <c r="C936" s="22"/>
      <c r="D936" s="37"/>
    </row>
    <row r="937" ht="15.75" customHeight="1">
      <c r="C937" s="22"/>
      <c r="D937" s="37"/>
    </row>
    <row r="938" ht="15.75" customHeight="1">
      <c r="C938" s="22"/>
      <c r="D938" s="37"/>
    </row>
    <row r="939" ht="15.75" customHeight="1">
      <c r="C939" s="22"/>
      <c r="D939" s="37"/>
    </row>
    <row r="940" ht="15.75" customHeight="1">
      <c r="C940" s="22"/>
      <c r="D940" s="37"/>
    </row>
    <row r="941" ht="15.75" customHeight="1">
      <c r="C941" s="22"/>
      <c r="D941" s="37"/>
    </row>
    <row r="942" ht="15.75" customHeight="1">
      <c r="C942" s="22"/>
      <c r="D942" s="37"/>
    </row>
    <row r="943" ht="15.75" customHeight="1">
      <c r="C943" s="22"/>
      <c r="D943" s="37"/>
    </row>
    <row r="944" ht="15.75" customHeight="1">
      <c r="C944" s="22"/>
      <c r="D944" s="37"/>
    </row>
    <row r="945" ht="15.75" customHeight="1">
      <c r="C945" s="22"/>
      <c r="D945" s="37"/>
    </row>
    <row r="946" ht="15.75" customHeight="1">
      <c r="C946" s="22"/>
      <c r="D946" s="37"/>
    </row>
    <row r="947" ht="15.75" customHeight="1">
      <c r="C947" s="22"/>
      <c r="D947" s="37"/>
    </row>
    <row r="948" ht="15.75" customHeight="1">
      <c r="C948" s="22"/>
      <c r="D948" s="37"/>
    </row>
    <row r="949" ht="15.75" customHeight="1">
      <c r="C949" s="22"/>
      <c r="D949" s="37"/>
    </row>
    <row r="950" ht="15.75" customHeight="1">
      <c r="C950" s="22"/>
      <c r="D950" s="37"/>
    </row>
    <row r="951" ht="15.75" customHeight="1">
      <c r="C951" s="22"/>
      <c r="D951" s="37"/>
    </row>
    <row r="952" ht="15.75" customHeight="1">
      <c r="C952" s="22"/>
      <c r="D952" s="37"/>
    </row>
    <row r="953" ht="15.75" customHeight="1">
      <c r="C953" s="22"/>
      <c r="D953" s="37"/>
    </row>
    <row r="954" ht="15.75" customHeight="1">
      <c r="C954" s="22"/>
      <c r="D954" s="37"/>
    </row>
    <row r="955" ht="15.75" customHeight="1">
      <c r="C955" s="22"/>
      <c r="D955" s="37"/>
    </row>
    <row r="956" ht="15.75" customHeight="1">
      <c r="C956" s="22"/>
      <c r="D956" s="37"/>
    </row>
    <row r="957" ht="15.75" customHeight="1">
      <c r="C957" s="22"/>
      <c r="D957" s="37"/>
    </row>
    <row r="958" ht="15.75" customHeight="1">
      <c r="C958" s="22"/>
      <c r="D958" s="37"/>
    </row>
    <row r="959" ht="15.75" customHeight="1">
      <c r="C959" s="22"/>
      <c r="D959" s="37"/>
    </row>
    <row r="960" ht="15.75" customHeight="1">
      <c r="C960" s="22"/>
      <c r="D960" s="37"/>
    </row>
    <row r="961" ht="15.75" customHeight="1">
      <c r="C961" s="22"/>
      <c r="D961" s="37"/>
    </row>
    <row r="962" ht="15.75" customHeight="1">
      <c r="C962" s="22"/>
      <c r="D962" s="37"/>
    </row>
    <row r="963" ht="15.75" customHeight="1">
      <c r="C963" s="22"/>
      <c r="D963" s="37"/>
    </row>
    <row r="964" ht="15.75" customHeight="1">
      <c r="C964" s="22"/>
      <c r="D964" s="37"/>
    </row>
    <row r="965" ht="15.75" customHeight="1">
      <c r="C965" s="22"/>
      <c r="D965" s="37"/>
    </row>
    <row r="966" ht="15.75" customHeight="1">
      <c r="C966" s="22"/>
      <c r="D966" s="37"/>
    </row>
    <row r="967" ht="15.75" customHeight="1">
      <c r="C967" s="22"/>
      <c r="D967" s="37"/>
    </row>
    <row r="968" ht="15.75" customHeight="1">
      <c r="C968" s="22"/>
      <c r="D968" s="37"/>
    </row>
    <row r="969" ht="15.75" customHeight="1">
      <c r="C969" s="22"/>
      <c r="D969" s="37"/>
    </row>
    <row r="970" ht="15.75" customHeight="1">
      <c r="C970" s="22"/>
      <c r="D970" s="37"/>
    </row>
    <row r="971" ht="15.75" customHeight="1">
      <c r="C971" s="22"/>
      <c r="D971" s="37"/>
    </row>
    <row r="972" ht="15.75" customHeight="1">
      <c r="C972" s="22"/>
      <c r="D972" s="37"/>
    </row>
    <row r="973" ht="15.75" customHeight="1">
      <c r="C973" s="22"/>
      <c r="D973" s="37"/>
    </row>
    <row r="974" ht="15.75" customHeight="1">
      <c r="C974" s="22"/>
      <c r="D974" s="37"/>
    </row>
    <row r="975" ht="15.75" customHeight="1">
      <c r="C975" s="22"/>
      <c r="D975" s="37"/>
    </row>
    <row r="976" ht="15.75" customHeight="1">
      <c r="C976" s="22"/>
      <c r="D976" s="37"/>
    </row>
    <row r="977" ht="15.75" customHeight="1">
      <c r="C977" s="22"/>
      <c r="D977" s="37"/>
    </row>
    <row r="978" ht="15.75" customHeight="1">
      <c r="C978" s="22"/>
      <c r="D978" s="37"/>
    </row>
    <row r="979" ht="15.75" customHeight="1">
      <c r="C979" s="22"/>
      <c r="D979" s="37"/>
    </row>
    <row r="980" ht="15.75" customHeight="1">
      <c r="C980" s="22"/>
      <c r="D980" s="37"/>
    </row>
    <row r="981" ht="15.75" customHeight="1">
      <c r="C981" s="22"/>
      <c r="D981" s="37"/>
    </row>
    <row r="982" ht="15.75" customHeight="1">
      <c r="C982" s="22"/>
      <c r="D982" s="37"/>
    </row>
    <row r="983" ht="15.75" customHeight="1">
      <c r="C983" s="22"/>
      <c r="D983" s="37"/>
    </row>
    <row r="984" ht="15.75" customHeight="1">
      <c r="C984" s="22"/>
      <c r="D984" s="37"/>
    </row>
    <row r="985" ht="15.75" customHeight="1">
      <c r="C985" s="22"/>
      <c r="D985" s="37"/>
    </row>
    <row r="986" ht="15.75" customHeight="1">
      <c r="C986" s="22"/>
      <c r="D986" s="37"/>
    </row>
    <row r="987" ht="15.75" customHeight="1">
      <c r="C987" s="22"/>
      <c r="D987" s="37"/>
    </row>
    <row r="988" ht="15.75" customHeight="1">
      <c r="C988" s="22"/>
      <c r="D988" s="37"/>
    </row>
    <row r="989" ht="15.75" customHeight="1">
      <c r="C989" s="22"/>
      <c r="D989" s="37"/>
    </row>
    <row r="990" ht="15.75" customHeight="1">
      <c r="C990" s="22"/>
      <c r="D990" s="37"/>
    </row>
    <row r="991" ht="15.75" customHeight="1">
      <c r="C991" s="22"/>
      <c r="D991" s="37"/>
    </row>
    <row r="992" ht="15.75" customHeight="1">
      <c r="C992" s="22"/>
      <c r="D992" s="37"/>
    </row>
    <row r="993" ht="15.75" customHeight="1">
      <c r="C993" s="22"/>
      <c r="D993" s="37"/>
    </row>
    <row r="994" ht="15.75" customHeight="1">
      <c r="C994" s="22"/>
      <c r="D994" s="37"/>
    </row>
    <row r="995" ht="15.75" customHeight="1">
      <c r="C995" s="22"/>
      <c r="D995" s="37"/>
    </row>
    <row r="996" ht="15.75" customHeight="1">
      <c r="C996" s="22"/>
      <c r="D996" s="37"/>
    </row>
    <row r="997" ht="15.75" customHeight="1">
      <c r="C997" s="22"/>
      <c r="D997" s="37"/>
    </row>
    <row r="998" ht="15.75" customHeight="1">
      <c r="C998" s="22"/>
      <c r="D998" s="37"/>
    </row>
    <row r="999" ht="15.75" customHeight="1">
      <c r="C999" s="22"/>
      <c r="D999" s="37"/>
    </row>
    <row r="1000" ht="15.75" customHeight="1">
      <c r="C1000" s="22"/>
      <c r="D1000" s="37"/>
    </row>
    <row r="1001" ht="15.75" customHeight="1">
      <c r="C1001" s="22"/>
      <c r="D1001" s="37"/>
    </row>
    <row r="1002" ht="15.75" customHeight="1">
      <c r="C1002" s="22"/>
      <c r="D1002" s="37"/>
    </row>
    <row r="1003" ht="15.75" customHeight="1">
      <c r="C1003" s="22"/>
      <c r="D1003" s="37"/>
    </row>
    <row r="1004" ht="15.75" customHeight="1">
      <c r="C1004" s="22"/>
      <c r="D1004" s="37"/>
    </row>
    <row r="1005" ht="15.75" customHeight="1">
      <c r="C1005" s="22"/>
      <c r="D1005" s="37"/>
    </row>
    <row r="1006" ht="15.75" customHeight="1">
      <c r="C1006" s="22"/>
      <c r="D1006" s="37"/>
    </row>
    <row r="1007" ht="15.75" customHeight="1">
      <c r="C1007" s="22"/>
      <c r="D1007" s="37"/>
    </row>
    <row r="1008" ht="15.75" customHeight="1">
      <c r="C1008" s="22"/>
      <c r="D1008" s="37"/>
    </row>
    <row r="1009" ht="15.75" customHeight="1">
      <c r="C1009" s="22"/>
      <c r="D1009" s="37"/>
    </row>
    <row r="1010" ht="15.75" customHeight="1">
      <c r="C1010" s="22"/>
      <c r="D1010" s="37"/>
    </row>
    <row r="1011" ht="15.75" customHeight="1">
      <c r="C1011" s="22"/>
      <c r="D1011" s="37"/>
    </row>
    <row r="1012" ht="15.75" customHeight="1">
      <c r="C1012" s="22"/>
      <c r="D1012" s="37"/>
    </row>
    <row r="1013" ht="15.75" customHeight="1">
      <c r="C1013" s="22"/>
      <c r="D1013" s="37"/>
    </row>
    <row r="1014" ht="15.75" customHeight="1">
      <c r="C1014" s="22"/>
      <c r="D1014" s="37"/>
    </row>
    <row r="1015" ht="15.75" customHeight="1">
      <c r="C1015" s="22"/>
      <c r="D1015" s="37"/>
    </row>
    <row r="1016" ht="15.75" customHeight="1">
      <c r="C1016" s="22"/>
      <c r="D1016" s="37"/>
    </row>
    <row r="1017" ht="15.75" customHeight="1">
      <c r="C1017" s="22"/>
      <c r="D1017" s="37"/>
    </row>
    <row r="1018" ht="15.75" customHeight="1">
      <c r="C1018" s="22"/>
      <c r="D1018" s="37"/>
    </row>
    <row r="1019" ht="15.75" customHeight="1">
      <c r="C1019" s="22"/>
      <c r="D1019" s="37"/>
    </row>
    <row r="1020" ht="15.75" customHeight="1">
      <c r="C1020" s="22"/>
      <c r="D1020" s="37"/>
    </row>
    <row r="1021" ht="15.75" customHeight="1">
      <c r="C1021" s="22"/>
      <c r="D1021" s="37"/>
    </row>
    <row r="1022" ht="15.75" customHeight="1">
      <c r="C1022" s="22"/>
      <c r="D1022" s="37"/>
    </row>
    <row r="1023" ht="15.75" customHeight="1">
      <c r="C1023" s="22"/>
      <c r="D1023" s="37"/>
    </row>
    <row r="1024" ht="15.75" customHeight="1">
      <c r="C1024" s="22"/>
      <c r="D1024" s="37"/>
    </row>
  </sheetData>
  <dataValidations>
    <dataValidation type="list" allowBlank="1" showErrorMessage="1" sqref="C1:C1024">
      <formula1>"VFD,SD,DOL"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8.75"/>
    <col customWidth="1" min="7" max="26" width="14.38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2024-08-05T08:50:10Z</dcterms:created>
  <dc:creator>Loriya Sagar Bhikhabhai</dc:creator>
</cp:coreProperties>
</file>